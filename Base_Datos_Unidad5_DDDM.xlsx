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Sucursales" sheetId="2" state="visible" r:id="rId4"/>
    <sheet name="Productos" sheetId="3" state="visible" r:id="rId5"/>
    <sheet name="Clientes" sheetId="4" state="visible" r:id="rId6"/>
    <sheet name="Vendedores" sheetId="5" state="visible" r:id="rId7"/>
    <sheet name="Calendario" sheetId="6" state="visible" r:id="rId8"/>
    <sheet name="Ventas" sheetId="7" state="visible" r:id="rId9"/>
    <sheet name="MetasMensuales" sheetId="8" state="visible" r:id="rId10"/>
    <sheet name="Encuesta" sheetId="9" state="visible" r:id="rId11"/>
    <sheet name="Simulacion_MC" sheetId="10" state="visible" r:id="rId12"/>
    <sheet name="Diccionario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<sst xmlns="http://schemas.openxmlformats.org/spreadsheetml/2006/main" count="2381" uniqueCount="475">
  <si>
    <t xml:space="preserve">Base de Datos — Unidad 5</t>
  </si>
  <si>
    <t xml:space="preserve">Toma de Decisiones Basada en Datos (DDDM)</t>
  </si>
  <si>
    <t xml:space="preserve">Empresa ficticia: Café del Bajío  •  Periodo: enero–diciembre 2025</t>
  </si>
  <si>
    <t xml:space="preserve">CONTENIDO DEL ARCHIVO</t>
  </si>
  <si>
    <t xml:space="preserve">Hoja</t>
  </si>
  <si>
    <t xml:space="preserve">Descripción</t>
  </si>
  <si>
    <t xml:space="preserve">¿Para qué subtema?</t>
  </si>
  <si>
    <t xml:space="preserve">Ventas</t>
  </si>
  <si>
    <t xml:space="preserve">Tabla de hechos: 1,200 transacciones de enero a diciembre 2025</t>
  </si>
  <si>
    <t xml:space="preserve">5.2 / 5.3 / 5.4</t>
  </si>
  <si>
    <t xml:space="preserve">Productos</t>
  </si>
  <si>
    <t xml:space="preserve">Catálogo de 20 productos en 5 categorías con costo y precio</t>
  </si>
  <si>
    <t xml:space="preserve">5.3 (modelo estrella)</t>
  </si>
  <si>
    <t xml:space="preserve">Clientes</t>
  </si>
  <si>
    <t xml:space="preserve">Dimensión de 60 clientes con segmento y antigüedad</t>
  </si>
  <si>
    <t xml:space="preserve">Sucursales</t>
  </si>
  <si>
    <t xml:space="preserve">5 sucursales del Bajío con ubicación y tamaño</t>
  </si>
  <si>
    <t xml:space="preserve">Vendedores</t>
  </si>
  <si>
    <t xml:space="preserve">10 vendedores asignados a sucursales</t>
  </si>
  <si>
    <t xml:space="preserve">Calendario</t>
  </si>
  <si>
    <t xml:space="preserve">Tabla de fechas para 2025 (días, mes, trimestre)</t>
  </si>
  <si>
    <t xml:space="preserve">MetasMensuales</t>
  </si>
  <si>
    <t xml:space="preserve">Meta de ventas mensual por sucursal</t>
  </si>
  <si>
    <t xml:space="preserve">5.3 (KPIs y semáforos DAX)</t>
  </si>
  <si>
    <t xml:space="preserve">Encuesta</t>
  </si>
  <si>
    <t xml:space="preserve">100 encuestas de satisfacción con 4 variables predictoras</t>
  </si>
  <si>
    <t xml:space="preserve">5.4 (regresión / R)</t>
  </si>
  <si>
    <t xml:space="preserve">Simulacion_MC</t>
  </si>
  <si>
    <t xml:space="preserve">Parámetros para simulación Monte Carlo de utilidades 2026</t>
  </si>
  <si>
    <t xml:space="preserve">5.6 (incertidumbre)</t>
  </si>
  <si>
    <t xml:space="preserve">Diccionario</t>
  </si>
  <si>
    <t xml:space="preserve">Definiciones de todos los campos y unidades</t>
  </si>
  <si>
    <t xml:space="preserve">Referencia general</t>
  </si>
  <si>
    <t xml:space="preserve">MODELO DE DATOS (relaciones)</t>
  </si>
  <si>
    <t xml:space="preserve">Ventas[ProductoID]   →   Productos[ProductoID]</t>
  </si>
  <si>
    <t xml:space="preserve">Ventas[ClienteID]    →   Clientes[ClienteID]</t>
  </si>
  <si>
    <t xml:space="preserve">Ventas[SucursalID]   →   Sucursales[SucursalID]</t>
  </si>
  <si>
    <t xml:space="preserve">Ventas[VendedorID]   →   Vendedores[VendedorID]</t>
  </si>
  <si>
    <t xml:space="preserve">Ventas[Fecha]        →   Calendario[Fecha]</t>
  </si>
  <si>
    <t xml:space="preserve">MetasMensuales[SucursalID] → Sucursales[SucursalID]</t>
  </si>
  <si>
    <t xml:space="preserve">Vendedores[SucursalID] →   Sucursales[SucursalID]</t>
  </si>
  <si>
    <t xml:space="preserve">CÓMO USAR ESTA BASE EN POWER BI</t>
  </si>
  <si>
    <t xml:space="preserve">1. Power BI Desktop → Inicio → Obtener datos → Excel → seleccionar este archivo.</t>
  </si>
  <si>
    <t xml:space="preserve">2. En el navegador, marcar las hojas: Ventas, Productos, Clientes, Sucursales, Vendedores, Calendario, MetasMensuales.</t>
  </si>
  <si>
    <t xml:space="preserve">3. Cargar → Vista de modelo → verificar que las relaciones se crearon automáticamente.</t>
  </si>
  <si>
    <t xml:space="preserve">4. Marcar Calendario como tabla de fechas (Modelado → Marcar como tabla de fechas → Fecha).</t>
  </si>
  <si>
    <t xml:space="preserve">5. Listo: empieza con la práctica del subtema correspondiente.</t>
  </si>
  <si>
    <t xml:space="preserve">CÓMO USAR ESTA BASE EN R</t>
  </si>
  <si>
    <t xml:space="preserve">1. Instalar paquetes: install.packages(c('readxl', 'tidyverse', 'ggplot2'))</t>
  </si>
  <si>
    <t xml:space="preserve">2. Cargar: library(readxl); df &lt;- read_excel('Base_Datos_Unidad5_DDDM.xlsx', sheet = 'Ventas')</t>
  </si>
  <si>
    <t xml:space="preserve">3. Ver: head(df); glimpse(df); summary(df)</t>
  </si>
  <si>
    <t xml:space="preserve">4. El archivo Scripts_R_Unidad5.R contiene el flujo completo (EDA, regresión, Monte Carlo).</t>
  </si>
  <si>
    <t xml:space="preserve">SucursalID</t>
  </si>
  <si>
    <t xml:space="preserve">Codigo</t>
  </si>
  <si>
    <t xml:space="preserve">Nombre</t>
  </si>
  <si>
    <t xml:space="preserve">Estado</t>
  </si>
  <si>
    <t xml:space="preserve">Tamaño</t>
  </si>
  <si>
    <t xml:space="preserve">Fecha_Apertura</t>
  </si>
  <si>
    <t xml:space="preserve">Num_Empleados</t>
  </si>
  <si>
    <t xml:space="preserve">QRO-CTR</t>
  </si>
  <si>
    <t xml:space="preserve">Querétaro Centro</t>
  </si>
  <si>
    <t xml:space="preserve">Querétaro</t>
  </si>
  <si>
    <t xml:space="preserve">Grande</t>
  </si>
  <si>
    <t xml:space="preserve">2018-03-15</t>
  </si>
  <si>
    <t xml:space="preserve">SJR-001</t>
  </si>
  <si>
    <t xml:space="preserve">San Juan del Río</t>
  </si>
  <si>
    <t xml:space="preserve">Mediana</t>
  </si>
  <si>
    <t xml:space="preserve">2019-08-01</t>
  </si>
  <si>
    <t xml:space="preserve">CEL-001</t>
  </si>
  <si>
    <t xml:space="preserve">Celaya Plaza Veleros</t>
  </si>
  <si>
    <t xml:space="preserve">Guanajuato</t>
  </si>
  <si>
    <t xml:space="preserve">2020-11-20</t>
  </si>
  <si>
    <t xml:space="preserve">LEO-001</t>
  </si>
  <si>
    <t xml:space="preserve">León Plaza Mayor</t>
  </si>
  <si>
    <t xml:space="preserve">2021-05-10</t>
  </si>
  <si>
    <t xml:space="preserve">AGS-001</t>
  </si>
  <si>
    <t xml:space="preserve">Aguascalientes Norte</t>
  </si>
  <si>
    <t xml:space="preserve">Aguascalientes</t>
  </si>
  <si>
    <t xml:space="preserve">Pequeña</t>
  </si>
  <si>
    <t xml:space="preserve">2023-02-28</t>
  </si>
  <si>
    <t xml:space="preserve">ProductoID</t>
  </si>
  <si>
    <t xml:space="preserve">SKU</t>
  </si>
  <si>
    <t xml:space="preserve">Categoria</t>
  </si>
  <si>
    <t xml:space="preserve">Costo</t>
  </si>
  <si>
    <t xml:space="preserve">Precio</t>
  </si>
  <si>
    <t xml:space="preserve">Margen_Unitario</t>
  </si>
  <si>
    <t xml:space="preserve">CAF-001</t>
  </si>
  <si>
    <t xml:space="preserve">Espresso Sencillo</t>
  </si>
  <si>
    <t xml:space="preserve">Café</t>
  </si>
  <si>
    <t xml:space="preserve">CAF-002</t>
  </si>
  <si>
    <t xml:space="preserve">Espresso Doble</t>
  </si>
  <si>
    <t xml:space="preserve">CAF-003</t>
  </si>
  <si>
    <t xml:space="preserve">Americano</t>
  </si>
  <si>
    <t xml:space="preserve">CAF-004</t>
  </si>
  <si>
    <t xml:space="preserve">Cappuccino</t>
  </si>
  <si>
    <t xml:space="preserve">CAF-005</t>
  </si>
  <si>
    <t xml:space="preserve">Latte</t>
  </si>
  <si>
    <t xml:space="preserve">CAF-006</t>
  </si>
  <si>
    <t xml:space="preserve">Mocha</t>
  </si>
  <si>
    <t xml:space="preserve">TE-001</t>
  </si>
  <si>
    <t xml:space="preserve">Té Verde Matcha</t>
  </si>
  <si>
    <t xml:space="preserve">Té</t>
  </si>
  <si>
    <t xml:space="preserve">TE-002</t>
  </si>
  <si>
    <t xml:space="preserve">Té Chai Latte</t>
  </si>
  <si>
    <t xml:space="preserve">TE-003</t>
  </si>
  <si>
    <t xml:space="preserve">Té Negro Earl Grey</t>
  </si>
  <si>
    <t xml:space="preserve">FRI-001</t>
  </si>
  <si>
    <t xml:space="preserve">Frappé Café</t>
  </si>
  <si>
    <t xml:space="preserve">Bebidas Frías</t>
  </si>
  <si>
    <t xml:space="preserve">FRI-002</t>
  </si>
  <si>
    <t xml:space="preserve">Frappé Chocolate</t>
  </si>
  <si>
    <t xml:space="preserve">FRI-003</t>
  </si>
  <si>
    <t xml:space="preserve">Limonada Mineral</t>
  </si>
  <si>
    <t xml:space="preserve">REP-001</t>
  </si>
  <si>
    <t xml:space="preserve">Croissant Mantequilla</t>
  </si>
  <si>
    <t xml:space="preserve">Repostería</t>
  </si>
  <si>
    <t xml:space="preserve">REP-002</t>
  </si>
  <si>
    <t xml:space="preserve">Pan de Chocolate</t>
  </si>
  <si>
    <t xml:space="preserve">REP-003</t>
  </si>
  <si>
    <t xml:space="preserve">Cheesecake Rebanada</t>
  </si>
  <si>
    <t xml:space="preserve">REP-004</t>
  </si>
  <si>
    <t xml:space="preserve">Brownie</t>
  </si>
  <si>
    <t xml:space="preserve">REP-005</t>
  </si>
  <si>
    <t xml:space="preserve">Galletas Artesanales</t>
  </si>
  <si>
    <t xml:space="preserve">SND-001</t>
  </si>
  <si>
    <t xml:space="preserve">Sándwich Pavo Manchego</t>
  </si>
  <si>
    <t xml:space="preserve">Sándwiches</t>
  </si>
  <si>
    <t xml:space="preserve">SND-002</t>
  </si>
  <si>
    <t xml:space="preserve">Bagel Salmón Ahumado</t>
  </si>
  <si>
    <t xml:space="preserve">SND-003</t>
  </si>
  <si>
    <t xml:space="preserve">Wrap Pollo César</t>
  </si>
  <si>
    <t xml:space="preserve">ClienteID</t>
  </si>
  <si>
    <t xml:space="preserve">Email</t>
  </si>
  <si>
    <t xml:space="preserve">Ciudad</t>
  </si>
  <si>
    <t xml:space="preserve">Segmento</t>
  </si>
  <si>
    <t xml:space="preserve">Fecha_Registro</t>
  </si>
  <si>
    <t xml:space="preserve">Edad</t>
  </si>
  <si>
    <t xml:space="preserve">María González</t>
  </si>
  <si>
    <t xml:space="preserve">maria.gonzalez@correo.mx</t>
  </si>
  <si>
    <t xml:space="preserve">Ocasional</t>
  </si>
  <si>
    <t xml:space="preserve">Juan Pérez</t>
  </si>
  <si>
    <t xml:space="preserve">juan.perez@correo.mx</t>
  </si>
  <si>
    <t xml:space="preserve">Frecuente</t>
  </si>
  <si>
    <t xml:space="preserve">Ana Rodríguez</t>
  </si>
  <si>
    <t xml:space="preserve">ana.rodriguez@correo.mx</t>
  </si>
  <si>
    <t xml:space="preserve">León</t>
  </si>
  <si>
    <t xml:space="preserve">Carlos Hernández</t>
  </si>
  <si>
    <t xml:space="preserve">carlos.hernandez@correo.mx</t>
  </si>
  <si>
    <t xml:space="preserve">Laura Martínez</t>
  </si>
  <si>
    <t xml:space="preserve">laura.martinez@correo.mx</t>
  </si>
  <si>
    <t xml:space="preserve">Pedro Sánchez</t>
  </si>
  <si>
    <t xml:space="preserve">pedro.sanchez@correo.mx</t>
  </si>
  <si>
    <t xml:space="preserve">Sofía Ramírez</t>
  </si>
  <si>
    <t xml:space="preserve">sofia.ramirez@correo.mx</t>
  </si>
  <si>
    <t xml:space="preserve">Diego López</t>
  </si>
  <si>
    <t xml:space="preserve">diego.lopez@correo.mx</t>
  </si>
  <si>
    <t xml:space="preserve">Celaya</t>
  </si>
  <si>
    <t xml:space="preserve">Valeria Torres</t>
  </si>
  <si>
    <t xml:space="preserve">valeria.torres@correo.mx</t>
  </si>
  <si>
    <t xml:space="preserve">Nuevo</t>
  </si>
  <si>
    <t xml:space="preserve">Andrés Vargas</t>
  </si>
  <si>
    <t xml:space="preserve">andres.vargas@correo.mx</t>
  </si>
  <si>
    <t xml:space="preserve">Camila Jiménez</t>
  </si>
  <si>
    <t xml:space="preserve">camila.jimenez@correo.mx</t>
  </si>
  <si>
    <t xml:space="preserve">Mateo Castro</t>
  </si>
  <si>
    <t xml:space="preserve">mateo.castro@correo.mx</t>
  </si>
  <si>
    <t xml:space="preserve">Isabella Morales</t>
  </si>
  <si>
    <t xml:space="preserve">isabella.morales@correo.mx</t>
  </si>
  <si>
    <t xml:space="preserve">Sebastián Ortiz</t>
  </si>
  <si>
    <t xml:space="preserve">sebastian.ortiz@correo.mx</t>
  </si>
  <si>
    <t xml:space="preserve">Lucía Mendoza</t>
  </si>
  <si>
    <t xml:space="preserve">lucia.mendoza@correo.mx</t>
  </si>
  <si>
    <t xml:space="preserve">Daniel Cruz</t>
  </si>
  <si>
    <t xml:space="preserve">daniel.cruz@correo.mx</t>
  </si>
  <si>
    <t xml:space="preserve">Renata Aguilar</t>
  </si>
  <si>
    <t xml:space="preserve">renata.aguilar@correo.mx</t>
  </si>
  <si>
    <t xml:space="preserve">Emilio Reyes</t>
  </si>
  <si>
    <t xml:space="preserve">emilio.reyes@correo.mx</t>
  </si>
  <si>
    <t xml:space="preserve">Paula Núñez</t>
  </si>
  <si>
    <t xml:space="preserve">paula.nunez@correo.mx</t>
  </si>
  <si>
    <t xml:space="preserve">Santiago Flores</t>
  </si>
  <si>
    <t xml:space="preserve">santiago.flores@correo.mx</t>
  </si>
  <si>
    <t xml:space="preserve">Valentina Cortés</t>
  </si>
  <si>
    <t xml:space="preserve">valentina.cortes@correo.mx</t>
  </si>
  <si>
    <t xml:space="preserve">Joaquín Vega</t>
  </si>
  <si>
    <t xml:space="preserve">joaquin.vega@correo.mx</t>
  </si>
  <si>
    <t xml:space="preserve">Mariana Romero</t>
  </si>
  <si>
    <t xml:space="preserve">mariana.romero@correo.mx</t>
  </si>
  <si>
    <t xml:space="preserve">Bruno Silva</t>
  </si>
  <si>
    <t xml:space="preserve">bruno.silva@correo.mx</t>
  </si>
  <si>
    <t xml:space="preserve">Antonia Guerrero</t>
  </si>
  <si>
    <t xml:space="preserve">antonia.guerrero@correo.mx</t>
  </si>
  <si>
    <t xml:space="preserve">Felipe Salas</t>
  </si>
  <si>
    <t xml:space="preserve">felipe.salas@correo.mx</t>
  </si>
  <si>
    <t xml:space="preserve">Regina Domínguez</t>
  </si>
  <si>
    <t xml:space="preserve">regina.dominguez@correo.mx</t>
  </si>
  <si>
    <t xml:space="preserve">Tomás Castañeda</t>
  </si>
  <si>
    <t xml:space="preserve">tomas.castaneda@correo.mx</t>
  </si>
  <si>
    <t xml:space="preserve">Ximena Soto</t>
  </si>
  <si>
    <t xml:space="preserve">ximena.soto@correo.mx</t>
  </si>
  <si>
    <t xml:space="preserve">Iván Acosta</t>
  </si>
  <si>
    <t xml:space="preserve">ivan.acosta@correo.mx</t>
  </si>
  <si>
    <t xml:space="preserve">Fernanda Ríos</t>
  </si>
  <si>
    <t xml:space="preserve">fernanda.rios@correo.mx</t>
  </si>
  <si>
    <t xml:space="preserve">Hugo Maldonado</t>
  </si>
  <si>
    <t xml:space="preserve">hugo.maldonado@correo.mx</t>
  </si>
  <si>
    <t xml:space="preserve">Ariadna Cervantes</t>
  </si>
  <si>
    <t xml:space="preserve">ariadna.cervantes@correo.mx</t>
  </si>
  <si>
    <t xml:space="preserve">Rodrigo Peña</t>
  </si>
  <si>
    <t xml:space="preserve">rodrigo.pena@correo.mx</t>
  </si>
  <si>
    <t xml:space="preserve">Daniela Cabrera</t>
  </si>
  <si>
    <t xml:space="preserve">daniela.cabrera@correo.mx</t>
  </si>
  <si>
    <t xml:space="preserve">Alejandro Méndez</t>
  </si>
  <si>
    <t xml:space="preserve">alejandro.mendez@correo.mx</t>
  </si>
  <si>
    <t xml:space="preserve">Natalia Esparza</t>
  </si>
  <si>
    <t xml:space="preserve">natalia.esparza@correo.mx</t>
  </si>
  <si>
    <t xml:space="preserve">Gabriel Quintero</t>
  </si>
  <si>
    <t xml:space="preserve">gabriel.quintero@correo.mx</t>
  </si>
  <si>
    <t xml:space="preserve">Adriana Lozano</t>
  </si>
  <si>
    <t xml:space="preserve">adriana.lozano@correo.mx</t>
  </si>
  <si>
    <t xml:space="preserve">Pablo Estrada</t>
  </si>
  <si>
    <t xml:space="preserve">pablo.estrada@correo.mx</t>
  </si>
  <si>
    <t xml:space="preserve">Carolina Gallardo</t>
  </si>
  <si>
    <t xml:space="preserve">carolina.gallardo@correo.mx</t>
  </si>
  <si>
    <t xml:space="preserve">Nicolás Bermúdez</t>
  </si>
  <si>
    <t xml:space="preserve">nicolas.bermudez@correo.mx</t>
  </si>
  <si>
    <t xml:space="preserve">Mónica Trejo</t>
  </si>
  <si>
    <t xml:space="preserve">monica.trejo@correo.mx</t>
  </si>
  <si>
    <t xml:space="preserve">Esteban Cisneros</t>
  </si>
  <si>
    <t xml:space="preserve">esteban.cisneros@correo.mx</t>
  </si>
  <si>
    <t xml:space="preserve">Patricia Olvera</t>
  </si>
  <si>
    <t xml:space="preserve">patricia.olvera@correo.mx</t>
  </si>
  <si>
    <t xml:space="preserve">Manuel Pacheco</t>
  </si>
  <si>
    <t xml:space="preserve">manuel.pacheco@correo.mx</t>
  </si>
  <si>
    <t xml:space="preserve">Beatriz Avilés</t>
  </si>
  <si>
    <t xml:space="preserve">beatriz.aviles@correo.mx</t>
  </si>
  <si>
    <t xml:space="preserve">Óscar Solís</t>
  </si>
  <si>
    <t xml:space="preserve">oscar.solis@correo.mx</t>
  </si>
  <si>
    <t xml:space="preserve">Rosa Galván</t>
  </si>
  <si>
    <t xml:space="preserve">rosa.galvan@correo.mx</t>
  </si>
  <si>
    <t xml:space="preserve">Víctor Carrillo</t>
  </si>
  <si>
    <t xml:space="preserve">victor.carrillo@correo.mx</t>
  </si>
  <si>
    <t xml:space="preserve">Elena Zamora</t>
  </si>
  <si>
    <t xml:space="preserve">elena.zamora@correo.mx</t>
  </si>
  <si>
    <t xml:space="preserve">Roberto Suárez</t>
  </si>
  <si>
    <t xml:space="preserve">roberto.suarez@correo.mx</t>
  </si>
  <si>
    <t xml:space="preserve">Lourdes Tapia</t>
  </si>
  <si>
    <t xml:space="preserve">lourdes.tapia@correo.mx</t>
  </si>
  <si>
    <t xml:space="preserve">Mauricio Villarreal</t>
  </si>
  <si>
    <t xml:space="preserve">mauricio.villarreal@correo.mx</t>
  </si>
  <si>
    <t xml:space="preserve">Cecilia Barrón</t>
  </si>
  <si>
    <t xml:space="preserve">cecilia.barron@correo.mx</t>
  </si>
  <si>
    <t xml:space="preserve">Javier Escobar</t>
  </si>
  <si>
    <t xml:space="preserve">javier.escobar@correo.mx</t>
  </si>
  <si>
    <t xml:space="preserve">Gloria Herrera</t>
  </si>
  <si>
    <t xml:space="preserve">gloria.herrera@correo.mx</t>
  </si>
  <si>
    <t xml:space="preserve">Eduardo Macías</t>
  </si>
  <si>
    <t xml:space="preserve">eduardo.macias@correo.mx</t>
  </si>
  <si>
    <t xml:space="preserve">Cristina Bravo</t>
  </si>
  <si>
    <t xml:space="preserve">cristina.bravo@correo.mx</t>
  </si>
  <si>
    <t xml:space="preserve">Ricardo Núñez</t>
  </si>
  <si>
    <t xml:space="preserve">ricardo.nunez@correo.mx</t>
  </si>
  <si>
    <t xml:space="preserve">VendedorID</t>
  </si>
  <si>
    <t xml:space="preserve">Fecha_Ingreso</t>
  </si>
  <si>
    <t xml:space="preserve">Nivel</t>
  </si>
  <si>
    <t xml:space="preserve">Mariana Torres</t>
  </si>
  <si>
    <t xml:space="preserve">2018-04-01</t>
  </si>
  <si>
    <t xml:space="preserve">Senior</t>
  </si>
  <si>
    <t xml:space="preserve">Luis Mendoza</t>
  </si>
  <si>
    <t xml:space="preserve">2020-06-15</t>
  </si>
  <si>
    <t xml:space="preserve">Junior</t>
  </si>
  <si>
    <t xml:space="preserve">Patricia Romero</t>
  </si>
  <si>
    <t xml:space="preserve">2022-01-10</t>
  </si>
  <si>
    <t xml:space="preserve">Carlos Aguilar</t>
  </si>
  <si>
    <t xml:space="preserve">2019-09-01</t>
  </si>
  <si>
    <t xml:space="preserve">Diana Velasco</t>
  </si>
  <si>
    <t xml:space="preserve">2021-03-20</t>
  </si>
  <si>
    <t xml:space="preserve">Roberto Cárdenas</t>
  </si>
  <si>
    <t xml:space="preserve">2020-11-25</t>
  </si>
  <si>
    <t xml:space="preserve">Fernanda Solís</t>
  </si>
  <si>
    <t xml:space="preserve">2023-02-01</t>
  </si>
  <si>
    <t xml:space="preserve">Andrés Domínguez</t>
  </si>
  <si>
    <t xml:space="preserve">2021-05-15</t>
  </si>
  <si>
    <t xml:space="preserve">Cristina Vega</t>
  </si>
  <si>
    <t xml:space="preserve">2022-10-01</t>
  </si>
  <si>
    <t xml:space="preserve">Jorge Aranda</t>
  </si>
  <si>
    <t xml:space="preserve">2023-03-15</t>
  </si>
  <si>
    <t xml:space="preserve">Fecha</t>
  </si>
  <si>
    <t xml:space="preserve">Año</t>
  </si>
  <si>
    <t xml:space="preserve">Mes</t>
  </si>
  <si>
    <t xml:space="preserve">Nombre_Mes</t>
  </si>
  <si>
    <t xml:space="preserve">Trimestre</t>
  </si>
  <si>
    <t xml:space="preserve">Dia_Semana</t>
  </si>
  <si>
    <t xml:space="preserve">Nombre_Dia</t>
  </si>
  <si>
    <t xml:space="preserve">Es_FinDeSemana</t>
  </si>
  <si>
    <t xml:space="preserve">Enero</t>
  </si>
  <si>
    <t xml:space="preserve">T1</t>
  </si>
  <si>
    <t xml:space="preserve">Miércoles</t>
  </si>
  <si>
    <t xml:space="preserve">No</t>
  </si>
  <si>
    <t xml:space="preserve">Jueves</t>
  </si>
  <si>
    <t xml:space="preserve">Viernes</t>
  </si>
  <si>
    <t xml:space="preserve">Sábado</t>
  </si>
  <si>
    <t xml:space="preserve">Sí</t>
  </si>
  <si>
    <t xml:space="preserve">Domingo</t>
  </si>
  <si>
    <t xml:space="preserve">Lunes</t>
  </si>
  <si>
    <t xml:space="preserve">Martes</t>
  </si>
  <si>
    <t xml:space="preserve">Febrero</t>
  </si>
  <si>
    <t xml:space="preserve">Marzo</t>
  </si>
  <si>
    <t xml:space="preserve">Abril</t>
  </si>
  <si>
    <t xml:space="preserve">T2</t>
  </si>
  <si>
    <t xml:space="preserve">Mayo</t>
  </si>
  <si>
    <t xml:space="preserve">Junio</t>
  </si>
  <si>
    <t xml:space="preserve">Julio</t>
  </si>
  <si>
    <t xml:space="preserve">T3</t>
  </si>
  <si>
    <t xml:space="preserve">Agosto</t>
  </si>
  <si>
    <t xml:space="preserve">Septiembre</t>
  </si>
  <si>
    <t xml:space="preserve">Octubre</t>
  </si>
  <si>
    <t xml:space="preserve">T4</t>
  </si>
  <si>
    <t xml:space="preserve">Noviembre</t>
  </si>
  <si>
    <t xml:space="preserve">Diciembre</t>
  </si>
  <si>
    <t xml:space="preserve">VentaID</t>
  </si>
  <si>
    <t xml:space="preserve">Cantidad</t>
  </si>
  <si>
    <t xml:space="preserve">Precio_Unitario</t>
  </si>
  <si>
    <t xml:space="preserve">Descuento_Pct</t>
  </si>
  <si>
    <t xml:space="preserve">Importe_Bruto</t>
  </si>
  <si>
    <t xml:space="preserve">Importe_Neto</t>
  </si>
  <si>
    <t xml:space="preserve">MetaID</t>
  </si>
  <si>
    <t xml:space="preserve">Meta_Ventas</t>
  </si>
  <si>
    <t xml:space="preserve">Meta_Transacciones</t>
  </si>
  <si>
    <t xml:space="preserve">EncuestaID</t>
  </si>
  <si>
    <t xml:space="preserve">Tiempo_Espera_Min</t>
  </si>
  <si>
    <t xml:space="preserve">Calidad_Producto</t>
  </si>
  <si>
    <t xml:space="preserve">Atencion_Personal</t>
  </si>
  <si>
    <t xml:space="preserve">Limpieza</t>
  </si>
  <si>
    <t xml:space="preserve">Precio_Percibido</t>
  </si>
  <si>
    <t xml:space="preserve">Satisfaccion_General</t>
  </si>
  <si>
    <t xml:space="preserve">Recomendaria</t>
  </si>
  <si>
    <t xml:space="preserve">Tal vez</t>
  </si>
  <si>
    <t xml:space="preserve">Parámetros para Simulación Monte Carlo — Utilidades 2026</t>
  </si>
  <si>
    <t xml:space="preserve">Estos parámetros se usan en el script de R (escenario base) y en hojas de cálculo del subtema 5.6</t>
  </si>
  <si>
    <t xml:space="preserve">Variable</t>
  </si>
  <si>
    <t xml:space="preserve">Distribución</t>
  </si>
  <si>
    <t xml:space="preserve">Parámetro 1</t>
  </si>
  <si>
    <t xml:space="preserve">Parámetro 2</t>
  </si>
  <si>
    <t xml:space="preserve">Unidad</t>
  </si>
  <si>
    <t xml:space="preserve">Ventas_Anuales_2026</t>
  </si>
  <si>
    <t xml:space="preserve">Normal</t>
  </si>
  <si>
    <t xml:space="preserve">MXN</t>
  </si>
  <si>
    <t xml:space="preserve">Media y desviación estándar de ventas proyectadas</t>
  </si>
  <si>
    <t xml:space="preserve">Costo_Variable_Pct</t>
  </si>
  <si>
    <t xml:space="preserve">Uniforme</t>
  </si>
  <si>
    <t xml:space="preserve">%</t>
  </si>
  <si>
    <t xml:space="preserve">Rango uniforme del costo variable como % de ventas</t>
  </si>
  <si>
    <t xml:space="preserve">Costos_Fijos</t>
  </si>
  <si>
    <t xml:space="preserve">Triangular</t>
  </si>
  <si>
    <t xml:space="preserve">Min, Modo, Max → para triangular usar 310000 como modo</t>
  </si>
  <si>
    <t xml:space="preserve">Tasa_Impuesto</t>
  </si>
  <si>
    <t xml:space="preserve">Constante</t>
  </si>
  <si>
    <t xml:space="preserve">Tasa efectiva de ISR</t>
  </si>
  <si>
    <t xml:space="preserve">Num_Iteraciones</t>
  </si>
  <si>
    <t xml:space="preserve">Configuración</t>
  </si>
  <si>
    <t xml:space="preserve">iter.</t>
  </si>
  <si>
    <t xml:space="preserve">Número de simulaciones recomendado</t>
  </si>
  <si>
    <t xml:space="preserve">Pregunta de negocio:</t>
  </si>
  <si>
    <t xml:space="preserve">¿Cuál es la probabilidad de que Café del Bajío genere una utilidad neta mayor a $300,000 MXN en 2026?</t>
  </si>
  <si>
    <t xml:space="preserve">Modelo determinístico (caso esperado):</t>
  </si>
  <si>
    <t xml:space="preserve">Utilidad = (Ventas − Ventas × CostoVar% − CostosFijos) × (1 − Tasa)</t>
  </si>
  <si>
    <t xml:space="preserve">Caso esperado (puntual):</t>
  </si>
  <si>
    <t xml:space="preserve">Ventas esperadas (E[X]):</t>
  </si>
  <si>
    <t xml:space="preserve">Costo variable esperado (43%):</t>
  </si>
  <si>
    <t xml:space="preserve">Costos fijos modo:</t>
  </si>
  <si>
    <t xml:space="preserve">Utilidad antes de impuestos:</t>
  </si>
  <si>
    <t xml:space="preserve">Impuesto (30%):</t>
  </si>
  <si>
    <t xml:space="preserve">UTILIDAD NETA ESPERADA:</t>
  </si>
  <si>
    <t xml:space="preserve">Tabla</t>
  </si>
  <si>
    <t xml:space="preserve">Campo</t>
  </si>
  <si>
    <t xml:space="preserve">Tipo</t>
  </si>
  <si>
    <t xml:space="preserve">Ejemplo</t>
  </si>
  <si>
    <t xml:space="preserve">Entero (PK)</t>
  </si>
  <si>
    <t xml:space="preserve">Identificador único de sucursal</t>
  </si>
  <si>
    <t xml:space="preserve">1</t>
  </si>
  <si>
    <t xml:space="preserve">Texto</t>
  </si>
  <si>
    <t xml:space="preserve">Código corto de la sucursal</t>
  </si>
  <si>
    <t xml:space="preserve">Nombre comercial de la sucursal</t>
  </si>
  <si>
    <t xml:space="preserve">Estado de la república mexicana</t>
  </si>
  <si>
    <t xml:space="preserve">Categórica</t>
  </si>
  <si>
    <t xml:space="preserve">Pequeña / Mediana / Grande</t>
  </si>
  <si>
    <t xml:space="preserve">Fecha de apertura al público</t>
  </si>
  <si>
    <t xml:space="preserve">Entero</t>
  </si>
  <si>
    <t xml:space="preserve">Número total de empleados</t>
  </si>
  <si>
    <t xml:space="preserve">12</t>
  </si>
  <si>
    <t xml:space="preserve">Identificador único de producto</t>
  </si>
  <si>
    <t xml:space="preserve">5</t>
  </si>
  <si>
    <t xml:space="preserve">Stock Keeping Unit</t>
  </si>
  <si>
    <t xml:space="preserve">Nombre del producto</t>
  </si>
  <si>
    <t xml:space="preserve">Café / Té / Bebidas Frías / Repostería / Sándwiches</t>
  </si>
  <si>
    <t xml:space="preserve">Decimal (MXN)</t>
  </si>
  <si>
    <t xml:space="preserve">Costo unitario para la empresa</t>
  </si>
  <si>
    <t xml:space="preserve">26.00</t>
  </si>
  <si>
    <t xml:space="preserve">Precio de venta al público</t>
  </si>
  <si>
    <t xml:space="preserve">58.00</t>
  </si>
  <si>
    <t xml:space="preserve">Calculado: Precio − Costo</t>
  </si>
  <si>
    <t xml:space="preserve">32.00</t>
  </si>
  <si>
    <t xml:space="preserve">Identificador único de cliente</t>
  </si>
  <si>
    <t xml:space="preserve">Nombre completo</t>
  </si>
  <si>
    <t xml:space="preserve">Correo electrónico</t>
  </si>
  <si>
    <t xml:space="preserve">Ciudad de residencia</t>
  </si>
  <si>
    <t xml:space="preserve">Frecuente / Ocasional / Nuevo</t>
  </si>
  <si>
    <t xml:space="preserve">Fecha de alta en programa de lealtad</t>
  </si>
  <si>
    <t xml:space="preserve">2022-04-15</t>
  </si>
  <si>
    <t xml:space="preserve">Edad en años</t>
  </si>
  <si>
    <t xml:space="preserve">34</t>
  </si>
  <si>
    <t xml:space="preserve">Identificador único de vendedor</t>
  </si>
  <si>
    <t xml:space="preserve">3</t>
  </si>
  <si>
    <t xml:space="preserve">Entero (FK)</t>
  </si>
  <si>
    <t xml:space="preserve">Sucursal en la que está asignado</t>
  </si>
  <si>
    <t xml:space="preserve">Fecha de ingreso a la empresa</t>
  </si>
  <si>
    <t xml:space="preserve">Junior / Senior</t>
  </si>
  <si>
    <t xml:space="preserve">Fecha (PK)</t>
  </si>
  <si>
    <t xml:space="preserve">Fecha completa</t>
  </si>
  <si>
    <t xml:space="preserve">2025-03-15</t>
  </si>
  <si>
    <t xml:space="preserve">2025</t>
  </si>
  <si>
    <t xml:space="preserve">Mes (1-12)</t>
  </si>
  <si>
    <t xml:space="preserve">Nombre del mes en español</t>
  </si>
  <si>
    <t xml:space="preserve">T1 / T2 / T3 / T4</t>
  </si>
  <si>
    <t xml:space="preserve">Día de la semana (1=Lunes ... 7=Domingo)</t>
  </si>
  <si>
    <t xml:space="preserve">6</t>
  </si>
  <si>
    <t xml:space="preserve">Nombre del día en español</t>
  </si>
  <si>
    <t xml:space="preserve">Sí / No</t>
  </si>
  <si>
    <t xml:space="preserve">Identificador único de la venta</t>
  </si>
  <si>
    <t xml:space="preserve">127</t>
  </si>
  <si>
    <t xml:space="preserve">Fecha (FK)</t>
  </si>
  <si>
    <t xml:space="preserve">Fecha de la transacción</t>
  </si>
  <si>
    <t xml:space="preserve">Sucursal donde se realizó la venta</t>
  </si>
  <si>
    <t xml:space="preserve">Vendedor que atendió</t>
  </si>
  <si>
    <t xml:space="preserve">Cliente comprador</t>
  </si>
  <si>
    <t xml:space="preserve">Producto vendido</t>
  </si>
  <si>
    <t xml:space="preserve">Unidades vendidas</t>
  </si>
  <si>
    <t xml:space="preserve">2</t>
  </si>
  <si>
    <t xml:space="preserve">Precio aplicado en la transacción</t>
  </si>
  <si>
    <t xml:space="preserve">Decimal</t>
  </si>
  <si>
    <t xml:space="preserve">Descuento aplicado (0 a 0.15)</t>
  </si>
  <si>
    <t xml:space="preserve">0.05</t>
  </si>
  <si>
    <t xml:space="preserve">Calculado: Cantidad × Precio_Unitario</t>
  </si>
  <si>
    <t xml:space="preserve">116.00</t>
  </si>
  <si>
    <t xml:space="preserve">Calculado: Importe_Bruto × (1 − Descuento_Pct)</t>
  </si>
  <si>
    <t xml:space="preserve">110.20</t>
  </si>
  <si>
    <t xml:space="preserve">Identificador de la meta</t>
  </si>
  <si>
    <t xml:space="preserve">13</t>
  </si>
  <si>
    <t xml:space="preserve">Sucursal a la que aplica la meta</t>
  </si>
  <si>
    <t xml:space="preserve">Año de la meta</t>
  </si>
  <si>
    <t xml:space="preserve">Mes de la meta (1-12)</t>
  </si>
  <si>
    <t xml:space="preserve">Importe meta del mes (MXN)</t>
  </si>
  <si>
    <t xml:space="preserve">87,400</t>
  </si>
  <si>
    <t xml:space="preserve">Cantidad meta de tickets</t>
  </si>
  <si>
    <t xml:space="preserve">442</t>
  </si>
  <si>
    <t xml:space="preserve">Identificador de la encuesta</t>
  </si>
  <si>
    <t xml:space="preserve">47</t>
  </si>
  <si>
    <t xml:space="preserve">Fecha de aplicación</t>
  </si>
  <si>
    <t xml:space="preserve">2025-06-10</t>
  </si>
  <si>
    <t xml:space="preserve">Sucursal evaluada</t>
  </si>
  <si>
    <t xml:space="preserve">Tiempo de espera reportado (minutos)</t>
  </si>
  <si>
    <t xml:space="preserve">5.2</t>
  </si>
  <si>
    <t xml:space="preserve">Escala 1-10</t>
  </si>
  <si>
    <t xml:space="preserve">Calificación de la calidad del producto</t>
  </si>
  <si>
    <t xml:space="preserve">8</t>
  </si>
  <si>
    <t xml:space="preserve">Calificación del trato del personal</t>
  </si>
  <si>
    <t xml:space="preserve">9</t>
  </si>
  <si>
    <t xml:space="preserve">Calificación de limpieza del local</t>
  </si>
  <si>
    <t xml:space="preserve">Percepción del precio (10 = justo)</t>
  </si>
  <si>
    <t xml:space="preserve">7</t>
  </si>
  <si>
    <t xml:space="preserve">Decimal 1-10</t>
  </si>
  <si>
    <t xml:space="preserve">VARIABLE OBJETIVO para regresión</t>
  </si>
  <si>
    <t xml:space="preserve">8.4</t>
  </si>
  <si>
    <t xml:space="preserve">Sí / Tal vez / No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</si>
</sst>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yyyy\-mm\-dd"/>
    <numFmt numFmtId="167" formatCode="0.0%"/>
    <numFmt numFmtId="168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F766E"/>
      <name val="Arial"/>
      <family val="0"/>
      <charset val="1"/>
    </font>
    <font>
      <i val="true"/>
      <sz val="13"/>
      <color rgb="FF334155"/>
      <name val="Arial"/>
      <family val="0"/>
      <charset val="1"/>
    </font>
    <font>
      <sz val="11"/>
      <color rgb="FF64748B"/>
      <name val="Arial"/>
      <family val="0"/>
      <charset val="1"/>
    </font>
    <font>
      <b val="true"/>
      <sz val="12"/>
      <color rgb="FF0F76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F766E"/>
      <name val="Consolas"/>
      <family val="0"/>
      <charset val="1"/>
    </font>
    <font>
      <b val="true"/>
      <sz val="14"/>
      <color rgb="FF0F766E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0F766E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Consolas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1F5F9"/>
        <bgColor rgb="FFFFFFFF"/>
      </patternFill>
    </fill>
    <fill>
      <patternFill patternType="solid">
        <fgColor rgb="FFCCFB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1F5F9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EF4444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B2:D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25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8" customFormat="false" ht="27.75" hidden="false" customHeight="true" outlineLevel="0" collapsed="false">
      <c r="B8" s="5" t="s">
        <v>4</v>
      </c>
      <c r="C8" s="5" t="s">
        <v>5</v>
      </c>
      <c r="D8" s="5" t="s">
        <v>6</v>
      </c>
    </row>
    <row r="9" customFormat="false" ht="23.85" hidden="false" customHeight="false" outlineLevel="0" collapsed="false">
      <c r="B9" s="6" t="s">
        <v>7</v>
      </c>
      <c r="C9" s="6" t="s">
        <v>8</v>
      </c>
      <c r="D9" s="6" t="s">
        <v>9</v>
      </c>
    </row>
    <row r="10" customFormat="false" ht="15" hidden="false" customHeight="false" outlineLevel="0" collapsed="false">
      <c r="B10" s="7" t="s">
        <v>10</v>
      </c>
      <c r="C10" s="7" t="s">
        <v>11</v>
      </c>
      <c r="D10" s="7" t="s">
        <v>12</v>
      </c>
    </row>
    <row r="11" customFormat="false" ht="15" hidden="false" customHeight="false" outlineLevel="0" collapsed="false">
      <c r="B11" s="6" t="s">
        <v>13</v>
      </c>
      <c r="C11" s="6" t="s">
        <v>14</v>
      </c>
      <c r="D11" s="6" t="s">
        <v>12</v>
      </c>
    </row>
    <row r="12" customFormat="false" ht="15" hidden="false" customHeight="false" outlineLevel="0" collapsed="false">
      <c r="B12" s="7" t="s">
        <v>15</v>
      </c>
      <c r="C12" s="7" t="s">
        <v>16</v>
      </c>
      <c r="D12" s="7" t="s">
        <v>12</v>
      </c>
    </row>
    <row r="13" customFormat="false" ht="15" hidden="false" customHeight="false" outlineLevel="0" collapsed="false">
      <c r="B13" s="6" t="s">
        <v>17</v>
      </c>
      <c r="C13" s="6" t="s">
        <v>18</v>
      </c>
      <c r="D13" s="6" t="s">
        <v>12</v>
      </c>
    </row>
    <row r="14" customFormat="false" ht="15" hidden="false" customHeight="false" outlineLevel="0" collapsed="false">
      <c r="B14" s="7" t="s">
        <v>19</v>
      </c>
      <c r="C14" s="7" t="s">
        <v>20</v>
      </c>
      <c r="D14" s="7" t="s">
        <v>12</v>
      </c>
    </row>
    <row r="15" customFormat="false" ht="15" hidden="false" customHeight="false" outlineLevel="0" collapsed="false">
      <c r="B15" s="6" t="s">
        <v>21</v>
      </c>
      <c r="C15" s="6" t="s">
        <v>22</v>
      </c>
      <c r="D15" s="6" t="s">
        <v>23</v>
      </c>
    </row>
    <row r="16" customFormat="false" ht="15" hidden="false" customHeight="false" outlineLevel="0" collapsed="false">
      <c r="B16" s="7" t="s">
        <v>24</v>
      </c>
      <c r="C16" s="7" t="s">
        <v>25</v>
      </c>
      <c r="D16" s="7" t="s">
        <v>26</v>
      </c>
    </row>
    <row r="17" customFormat="false" ht="15" hidden="false" customHeight="false" outlineLevel="0" collapsed="false">
      <c r="B17" s="6" t="s">
        <v>27</v>
      </c>
      <c r="C17" s="6" t="s">
        <v>28</v>
      </c>
      <c r="D17" s="6" t="s">
        <v>29</v>
      </c>
    </row>
    <row r="18" customFormat="false" ht="15" hidden="false" customHeight="false" outlineLevel="0" collapsed="false">
      <c r="B18" s="7" t="s">
        <v>30</v>
      </c>
      <c r="C18" s="7" t="s">
        <v>31</v>
      </c>
      <c r="D18" s="7" t="s">
        <v>32</v>
      </c>
    </row>
    <row r="20" customFormat="false" ht="15" hidden="false" customHeight="false" outlineLevel="0" collapsed="false">
      <c r="B20" s="4" t="s">
        <v>33</v>
      </c>
    </row>
    <row r="22" customFormat="false" ht="15" hidden="false" customHeight="false" outlineLevel="0" collapsed="false">
      <c r="B22" s="8" t="s">
        <v>34</v>
      </c>
    </row>
    <row r="23" customFormat="false" ht="15" hidden="false" customHeight="false" outlineLevel="0" collapsed="false">
      <c r="B23" s="8" t="s">
        <v>35</v>
      </c>
    </row>
    <row r="24" customFormat="false" ht="15" hidden="false" customHeight="false" outlineLevel="0" collapsed="false">
      <c r="B24" s="8" t="s">
        <v>36</v>
      </c>
    </row>
    <row r="25" customFormat="false" ht="15" hidden="false" customHeight="false" outlineLevel="0" collapsed="false">
      <c r="B25" s="8" t="s">
        <v>37</v>
      </c>
    </row>
    <row r="26" customFormat="false" ht="15" hidden="false" customHeight="false" outlineLevel="0" collapsed="false">
      <c r="B26" s="8" t="s">
        <v>38</v>
      </c>
    </row>
    <row r="27" customFormat="false" ht="15" hidden="false" customHeight="false" outlineLevel="0" collapsed="false">
      <c r="B27" s="8" t="s">
        <v>39</v>
      </c>
    </row>
    <row r="28" customFormat="false" ht="15" hidden="false" customHeight="false" outlineLevel="0" collapsed="false">
      <c r="B28" s="8" t="s">
        <v>40</v>
      </c>
    </row>
    <row r="30" customFormat="false" ht="15" hidden="false" customHeight="false" outlineLevel="0" collapsed="false">
      <c r="B30" s="4" t="s">
        <v>41</v>
      </c>
    </row>
    <row r="32" customFormat="false" ht="15" hidden="false" customHeight="false" outlineLevel="0" collapsed="false">
      <c r="B32" s="9" t="s">
        <v>42</v>
      </c>
    </row>
    <row r="33" customFormat="false" ht="15" hidden="false" customHeight="false" outlineLevel="0" collapsed="false">
      <c r="B33" s="9" t="s">
        <v>43</v>
      </c>
    </row>
    <row r="34" customFormat="false" ht="15" hidden="false" customHeight="false" outlineLevel="0" collapsed="false">
      <c r="B34" s="9" t="s">
        <v>44</v>
      </c>
    </row>
    <row r="35" customFormat="false" ht="15" hidden="false" customHeight="false" outlineLevel="0" collapsed="false">
      <c r="B35" s="9" t="s">
        <v>45</v>
      </c>
    </row>
    <row r="36" customFormat="false" ht="15" hidden="false" customHeight="false" outlineLevel="0" collapsed="false">
      <c r="B36" s="9" t="s">
        <v>46</v>
      </c>
    </row>
    <row r="39" customFormat="false" ht="15" hidden="false" customHeight="false" outlineLevel="0" collapsed="false">
      <c r="B39" s="4" t="s">
        <v>47</v>
      </c>
    </row>
    <row r="41" customFormat="false" ht="15" hidden="false" customHeight="false" outlineLevel="0" collapsed="false">
      <c r="B41" s="9" t="s">
        <v>48</v>
      </c>
    </row>
    <row r="42" customFormat="false" ht="15" hidden="false" customHeight="false" outlineLevel="0" collapsed="false">
      <c r="B42" s="9" t="s">
        <v>49</v>
      </c>
    </row>
    <row r="43" customFormat="false" ht="15" hidden="false" customHeight="false" outlineLevel="0" collapsed="false">
      <c r="B43" s="9" t="s">
        <v>50</v>
      </c>
    </row>
    <row r="44" customFormat="false" ht="15" hidden="false" customHeight="false" outlineLevel="0" collapsed="false">
      <c r="B44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7" min="6" style="0" width="16"/>
  </cols>
  <sheetData>
    <row r="1" customFormat="false" ht="30" hidden="false" customHeight="true" outlineLevel="0" collapsed="false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</row>
    <row r="2" customFormat="false" ht="15" hidden="false" customHeight="false" outlineLevel="0" collapsed="false">
      <c r="A2" s="10" t="n">
        <v>1</v>
      </c>
      <c r="B2" s="10" t="s">
        <v>59</v>
      </c>
      <c r="C2" s="10" t="s">
        <v>60</v>
      </c>
      <c r="D2" s="10" t="s">
        <v>61</v>
      </c>
      <c r="E2" s="10" t="s">
        <v>62</v>
      </c>
      <c r="F2" s="10" t="s">
        <v>63</v>
      </c>
      <c r="G2" s="10" t="n">
        <v>12</v>
      </c>
    </row>
    <row r="3" customFormat="false" ht="15" hidden="false" customHeight="false" outlineLevel="0" collapsed="false">
      <c r="A3" s="11" t="n">
        <v>2</v>
      </c>
      <c r="B3" s="11" t="s">
        <v>64</v>
      </c>
      <c r="C3" s="11" t="s">
        <v>65</v>
      </c>
      <c r="D3" s="11" t="s">
        <v>61</v>
      </c>
      <c r="E3" s="11" t="s">
        <v>66</v>
      </c>
      <c r="F3" s="11" t="s">
        <v>67</v>
      </c>
      <c r="G3" s="11" t="n">
        <v>8</v>
      </c>
    </row>
    <row r="4" customFormat="false" ht="15" hidden="false" customHeight="false" outlineLevel="0" collapsed="false">
      <c r="A4" s="10" t="n">
        <v>3</v>
      </c>
      <c r="B4" s="10" t="s">
        <v>68</v>
      </c>
      <c r="C4" s="10" t="s">
        <v>69</v>
      </c>
      <c r="D4" s="10" t="s">
        <v>70</v>
      </c>
      <c r="E4" s="10" t="s">
        <v>66</v>
      </c>
      <c r="F4" s="10" t="s">
        <v>71</v>
      </c>
      <c r="G4" s="10" t="n">
        <v>9</v>
      </c>
    </row>
    <row r="5" customFormat="false" ht="15" hidden="false" customHeight="false" outlineLevel="0" collapsed="false">
      <c r="A5" s="11" t="n">
        <v>4</v>
      </c>
      <c r="B5" s="11" t="s">
        <v>72</v>
      </c>
      <c r="C5" s="11" t="s">
        <v>73</v>
      </c>
      <c r="D5" s="11" t="s">
        <v>70</v>
      </c>
      <c r="E5" s="11" t="s">
        <v>62</v>
      </c>
      <c r="F5" s="11" t="s">
        <v>74</v>
      </c>
      <c r="G5" s="11" t="n">
        <v>14</v>
      </c>
    </row>
    <row r="6" customFormat="false" ht="15" hidden="false" customHeight="false" outlineLevel="0" collapsed="false">
      <c r="A6" s="10" t="n">
        <v>5</v>
      </c>
      <c r="B6" s="10" t="s">
        <v>75</v>
      </c>
      <c r="C6" s="10" t="s">
        <v>76</v>
      </c>
      <c r="D6" s="10" t="s">
        <v>77</v>
      </c>
      <c r="E6" s="10" t="s">
        <v>78</v>
      </c>
      <c r="F6" s="10" t="s">
        <v>79</v>
      </c>
      <c r="G6" s="1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16"/>
  </cols>
  <sheetData>
    <row r="1" customFormat="false" ht="30" hidden="false" customHeight="true" outlineLevel="0" collapsed="false">
      <c r="A1" s="5" t="s">
        <v>80</v>
      </c>
      <c r="B1" s="5" t="s">
        <v>81</v>
      </c>
      <c r="C1" s="5" t="s">
        <v>54</v>
      </c>
      <c r="D1" s="5" t="s">
        <v>82</v>
      </c>
      <c r="E1" s="5" t="s">
        <v>83</v>
      </c>
      <c r="F1" s="5" t="s">
        <v>84</v>
      </c>
      <c r="G1" s="5" t="s">
        <v>85</v>
      </c>
    </row>
    <row r="2" customFormat="false" ht="15" hidden="false" customHeight="false" outlineLevel="0" collapsed="false">
      <c r="A2" s="10" t="n">
        <v>1</v>
      </c>
      <c r="B2" s="10" t="s">
        <v>86</v>
      </c>
      <c r="C2" s="10" t="s">
        <v>87</v>
      </c>
      <c r="D2" s="10" t="s">
        <v>88</v>
      </c>
      <c r="E2" s="12" t="n">
        <v>15</v>
      </c>
      <c r="F2" s="12" t="n">
        <v>35</v>
      </c>
      <c r="G2" s="12" t="n">
        <f aca="false">F2-E2</f>
        <v>20</v>
      </c>
    </row>
    <row r="3" customFormat="false" ht="15" hidden="false" customHeight="false" outlineLevel="0" collapsed="false">
      <c r="A3" s="11" t="n">
        <v>2</v>
      </c>
      <c r="B3" s="11" t="s">
        <v>89</v>
      </c>
      <c r="C3" s="11" t="s">
        <v>90</v>
      </c>
      <c r="D3" s="11" t="s">
        <v>88</v>
      </c>
      <c r="E3" s="13" t="n">
        <v>22</v>
      </c>
      <c r="F3" s="13" t="n">
        <v>45</v>
      </c>
      <c r="G3" s="13" t="n">
        <f aca="false">F3-E3</f>
        <v>23</v>
      </c>
    </row>
    <row r="4" customFormat="false" ht="15" hidden="false" customHeight="false" outlineLevel="0" collapsed="false">
      <c r="A4" s="10" t="n">
        <v>3</v>
      </c>
      <c r="B4" s="10" t="s">
        <v>91</v>
      </c>
      <c r="C4" s="10" t="s">
        <v>92</v>
      </c>
      <c r="D4" s="10" t="s">
        <v>88</v>
      </c>
      <c r="E4" s="12" t="n">
        <v>16</v>
      </c>
      <c r="F4" s="12" t="n">
        <v>38</v>
      </c>
      <c r="G4" s="12" t="n">
        <f aca="false">F4-E4</f>
        <v>22</v>
      </c>
    </row>
    <row r="5" customFormat="false" ht="15" hidden="false" customHeight="false" outlineLevel="0" collapsed="false">
      <c r="A5" s="11" t="n">
        <v>4</v>
      </c>
      <c r="B5" s="11" t="s">
        <v>93</v>
      </c>
      <c r="C5" s="11" t="s">
        <v>94</v>
      </c>
      <c r="D5" s="11" t="s">
        <v>88</v>
      </c>
      <c r="E5" s="13" t="n">
        <v>24</v>
      </c>
      <c r="F5" s="13" t="n">
        <v>55</v>
      </c>
      <c r="G5" s="13" t="n">
        <f aca="false">F5-E5</f>
        <v>31</v>
      </c>
    </row>
    <row r="6" customFormat="false" ht="15" hidden="false" customHeight="false" outlineLevel="0" collapsed="false">
      <c r="A6" s="10" t="n">
        <v>5</v>
      </c>
      <c r="B6" s="10" t="s">
        <v>95</v>
      </c>
      <c r="C6" s="10" t="s">
        <v>96</v>
      </c>
      <c r="D6" s="10" t="s">
        <v>88</v>
      </c>
      <c r="E6" s="12" t="n">
        <v>26</v>
      </c>
      <c r="F6" s="12" t="n">
        <v>58</v>
      </c>
      <c r="G6" s="12" t="n">
        <f aca="false">F6-E6</f>
        <v>32</v>
      </c>
    </row>
    <row r="7" customFormat="false" ht="15" hidden="false" customHeight="false" outlineLevel="0" collapsed="false">
      <c r="A7" s="11" t="n">
        <v>6</v>
      </c>
      <c r="B7" s="11" t="s">
        <v>97</v>
      </c>
      <c r="C7" s="11" t="s">
        <v>98</v>
      </c>
      <c r="D7" s="11" t="s">
        <v>88</v>
      </c>
      <c r="E7" s="13" t="n">
        <v>28</v>
      </c>
      <c r="F7" s="13" t="n">
        <v>62</v>
      </c>
      <c r="G7" s="13" t="n">
        <f aca="false">F7-E7</f>
        <v>34</v>
      </c>
    </row>
    <row r="8" customFormat="false" ht="15" hidden="false" customHeight="false" outlineLevel="0" collapsed="false">
      <c r="A8" s="10" t="n">
        <v>7</v>
      </c>
      <c r="B8" s="10" t="s">
        <v>99</v>
      </c>
      <c r="C8" s="10" t="s">
        <v>100</v>
      </c>
      <c r="D8" s="10" t="s">
        <v>101</v>
      </c>
      <c r="E8" s="12" t="n">
        <v>20</v>
      </c>
      <c r="F8" s="12" t="n">
        <v>50</v>
      </c>
      <c r="G8" s="12" t="n">
        <f aca="false">F8-E8</f>
        <v>30</v>
      </c>
    </row>
    <row r="9" customFormat="false" ht="15" hidden="false" customHeight="false" outlineLevel="0" collapsed="false">
      <c r="A9" s="11" t="n">
        <v>8</v>
      </c>
      <c r="B9" s="11" t="s">
        <v>102</v>
      </c>
      <c r="C9" s="11" t="s">
        <v>103</v>
      </c>
      <c r="D9" s="11" t="s">
        <v>101</v>
      </c>
      <c r="E9" s="13" t="n">
        <v>22</v>
      </c>
      <c r="F9" s="13" t="n">
        <v>52</v>
      </c>
      <c r="G9" s="13" t="n">
        <f aca="false">F9-E9</f>
        <v>30</v>
      </c>
    </row>
    <row r="10" customFormat="false" ht="15" hidden="false" customHeight="false" outlineLevel="0" collapsed="false">
      <c r="A10" s="10" t="n">
        <v>9</v>
      </c>
      <c r="B10" s="10" t="s">
        <v>104</v>
      </c>
      <c r="C10" s="10" t="s">
        <v>105</v>
      </c>
      <c r="D10" s="10" t="s">
        <v>101</v>
      </c>
      <c r="E10" s="12" t="n">
        <v>14</v>
      </c>
      <c r="F10" s="12" t="n">
        <v>40</v>
      </c>
      <c r="G10" s="12" t="n">
        <f aca="false">F10-E10</f>
        <v>26</v>
      </c>
    </row>
    <row r="11" customFormat="false" ht="15" hidden="false" customHeight="false" outlineLevel="0" collapsed="false">
      <c r="A11" s="11" t="n">
        <v>10</v>
      </c>
      <c r="B11" s="11" t="s">
        <v>106</v>
      </c>
      <c r="C11" s="11" t="s">
        <v>107</v>
      </c>
      <c r="D11" s="11" t="s">
        <v>108</v>
      </c>
      <c r="E11" s="13" t="n">
        <v>30</v>
      </c>
      <c r="F11" s="13" t="n">
        <v>70</v>
      </c>
      <c r="G11" s="13" t="n">
        <f aca="false">F11-E11</f>
        <v>40</v>
      </c>
    </row>
    <row r="12" customFormat="false" ht="15" hidden="false" customHeight="false" outlineLevel="0" collapsed="false">
      <c r="A12" s="10" t="n">
        <v>11</v>
      </c>
      <c r="B12" s="10" t="s">
        <v>109</v>
      </c>
      <c r="C12" s="10" t="s">
        <v>110</v>
      </c>
      <c r="D12" s="10" t="s">
        <v>108</v>
      </c>
      <c r="E12" s="12" t="n">
        <v>32</v>
      </c>
      <c r="F12" s="12" t="n">
        <v>72</v>
      </c>
      <c r="G12" s="12" t="n">
        <f aca="false">F12-E12</f>
        <v>40</v>
      </c>
    </row>
    <row r="13" customFormat="false" ht="15" hidden="false" customHeight="false" outlineLevel="0" collapsed="false">
      <c r="A13" s="11" t="n">
        <v>12</v>
      </c>
      <c r="B13" s="11" t="s">
        <v>111</v>
      </c>
      <c r="C13" s="11" t="s">
        <v>112</v>
      </c>
      <c r="D13" s="11" t="s">
        <v>108</v>
      </c>
      <c r="E13" s="13" t="n">
        <v>18</v>
      </c>
      <c r="F13" s="13" t="n">
        <v>45</v>
      </c>
      <c r="G13" s="13" t="n">
        <f aca="false">F13-E13</f>
        <v>27</v>
      </c>
    </row>
    <row r="14" customFormat="false" ht="15" hidden="false" customHeight="false" outlineLevel="0" collapsed="false">
      <c r="A14" s="10" t="n">
        <v>13</v>
      </c>
      <c r="B14" s="10" t="s">
        <v>113</v>
      </c>
      <c r="C14" s="10" t="s">
        <v>114</v>
      </c>
      <c r="D14" s="10" t="s">
        <v>115</v>
      </c>
      <c r="E14" s="12" t="n">
        <v>12</v>
      </c>
      <c r="F14" s="12" t="n">
        <v>32</v>
      </c>
      <c r="G14" s="12" t="n">
        <f aca="false">F14-E14</f>
        <v>20</v>
      </c>
    </row>
    <row r="15" customFormat="false" ht="15" hidden="false" customHeight="false" outlineLevel="0" collapsed="false">
      <c r="A15" s="11" t="n">
        <v>14</v>
      </c>
      <c r="B15" s="11" t="s">
        <v>116</v>
      </c>
      <c r="C15" s="11" t="s">
        <v>117</v>
      </c>
      <c r="D15" s="11" t="s">
        <v>115</v>
      </c>
      <c r="E15" s="13" t="n">
        <v>15</v>
      </c>
      <c r="F15" s="13" t="n">
        <v>38</v>
      </c>
      <c r="G15" s="13" t="n">
        <f aca="false">F15-E15</f>
        <v>23</v>
      </c>
    </row>
    <row r="16" customFormat="false" ht="15" hidden="false" customHeight="false" outlineLevel="0" collapsed="false">
      <c r="A16" s="10" t="n">
        <v>15</v>
      </c>
      <c r="B16" s="10" t="s">
        <v>118</v>
      </c>
      <c r="C16" s="10" t="s">
        <v>119</v>
      </c>
      <c r="D16" s="10" t="s">
        <v>115</v>
      </c>
      <c r="E16" s="12" t="n">
        <v>25</v>
      </c>
      <c r="F16" s="12" t="n">
        <v>65</v>
      </c>
      <c r="G16" s="12" t="n">
        <f aca="false">F16-E16</f>
        <v>40</v>
      </c>
    </row>
    <row r="17" customFormat="false" ht="15" hidden="false" customHeight="false" outlineLevel="0" collapsed="false">
      <c r="A17" s="11" t="n">
        <v>16</v>
      </c>
      <c r="B17" s="11" t="s">
        <v>120</v>
      </c>
      <c r="C17" s="11" t="s">
        <v>121</v>
      </c>
      <c r="D17" s="11" t="s">
        <v>115</v>
      </c>
      <c r="E17" s="13" t="n">
        <v>18</v>
      </c>
      <c r="F17" s="13" t="n">
        <v>45</v>
      </c>
      <c r="G17" s="13" t="n">
        <f aca="false">F17-E17</f>
        <v>27</v>
      </c>
    </row>
    <row r="18" customFormat="false" ht="15" hidden="false" customHeight="false" outlineLevel="0" collapsed="false">
      <c r="A18" s="10" t="n">
        <v>17</v>
      </c>
      <c r="B18" s="10" t="s">
        <v>122</v>
      </c>
      <c r="C18" s="10" t="s">
        <v>123</v>
      </c>
      <c r="D18" s="10" t="s">
        <v>115</v>
      </c>
      <c r="E18" s="12" t="n">
        <v>10</v>
      </c>
      <c r="F18" s="12" t="n">
        <v>28</v>
      </c>
      <c r="G18" s="12" t="n">
        <f aca="false">F18-E18</f>
        <v>18</v>
      </c>
    </row>
    <row r="19" customFormat="false" ht="15" hidden="false" customHeight="false" outlineLevel="0" collapsed="false">
      <c r="A19" s="11" t="n">
        <v>18</v>
      </c>
      <c r="B19" s="11" t="s">
        <v>124</v>
      </c>
      <c r="C19" s="11" t="s">
        <v>125</v>
      </c>
      <c r="D19" s="11" t="s">
        <v>126</v>
      </c>
      <c r="E19" s="13" t="n">
        <v>40</v>
      </c>
      <c r="F19" s="13" t="n">
        <v>95</v>
      </c>
      <c r="G19" s="13" t="n">
        <f aca="false">F19-E19</f>
        <v>55</v>
      </c>
    </row>
    <row r="20" customFormat="false" ht="15" hidden="false" customHeight="false" outlineLevel="0" collapsed="false">
      <c r="A20" s="10" t="n">
        <v>19</v>
      </c>
      <c r="B20" s="10" t="s">
        <v>127</v>
      </c>
      <c r="C20" s="10" t="s">
        <v>128</v>
      </c>
      <c r="D20" s="10" t="s">
        <v>126</v>
      </c>
      <c r="E20" s="12" t="n">
        <v>55</v>
      </c>
      <c r="F20" s="12" t="n">
        <v>125</v>
      </c>
      <c r="G20" s="12" t="n">
        <f aca="false">F20-E20</f>
        <v>70</v>
      </c>
    </row>
    <row r="21" customFormat="false" ht="15" hidden="false" customHeight="false" outlineLevel="0" collapsed="false">
      <c r="A21" s="11" t="n">
        <v>20</v>
      </c>
      <c r="B21" s="11" t="s">
        <v>129</v>
      </c>
      <c r="C21" s="11" t="s">
        <v>130</v>
      </c>
      <c r="D21" s="11" t="s">
        <v>126</v>
      </c>
      <c r="E21" s="13" t="n">
        <v>38</v>
      </c>
      <c r="F21" s="13" t="n">
        <v>88</v>
      </c>
      <c r="G21" s="13" t="n">
        <f aca="false">F21-E21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30" hidden="false" customHeight="true" outlineLevel="0" collapsed="false">
      <c r="A1" s="5" t="s">
        <v>131</v>
      </c>
      <c r="B1" s="5" t="s">
        <v>54</v>
      </c>
      <c r="C1" s="5" t="s">
        <v>132</v>
      </c>
      <c r="D1" s="5" t="s">
        <v>133</v>
      </c>
      <c r="E1" s="5" t="s">
        <v>134</v>
      </c>
      <c r="F1" s="5" t="s">
        <v>135</v>
      </c>
      <c r="G1" s="5" t="s">
        <v>136</v>
      </c>
    </row>
    <row r="2" customFormat="false" ht="15" hidden="false" customHeight="false" outlineLevel="0" collapsed="false">
      <c r="A2" s="10" t="n">
        <v>1</v>
      </c>
      <c r="B2" s="10" t="s">
        <v>137</v>
      </c>
      <c r="C2" s="10" t="s">
        <v>138</v>
      </c>
      <c r="D2" s="10" t="s">
        <v>61</v>
      </c>
      <c r="E2" s="10" t="s">
        <v>139</v>
      </c>
      <c r="F2" s="14" t="n">
        <v>45259</v>
      </c>
      <c r="G2" s="10" t="n">
        <v>35</v>
      </c>
    </row>
    <row r="3" customFormat="false" ht="15" hidden="false" customHeight="false" outlineLevel="0" collapsed="false">
      <c r="A3" s="11" t="n">
        <v>2</v>
      </c>
      <c r="B3" s="11" t="s">
        <v>140</v>
      </c>
      <c r="C3" s="11" t="s">
        <v>141</v>
      </c>
      <c r="D3" s="11" t="s">
        <v>61</v>
      </c>
      <c r="E3" s="11" t="s">
        <v>142</v>
      </c>
      <c r="F3" s="15" t="n">
        <v>43837</v>
      </c>
      <c r="G3" s="11" t="n">
        <v>54</v>
      </c>
    </row>
    <row r="4" customFormat="false" ht="15" hidden="false" customHeight="false" outlineLevel="0" collapsed="false">
      <c r="A4" s="10" t="n">
        <v>3</v>
      </c>
      <c r="B4" s="10" t="s">
        <v>143</v>
      </c>
      <c r="C4" s="10" t="s">
        <v>144</v>
      </c>
      <c r="D4" s="10" t="s">
        <v>145</v>
      </c>
      <c r="E4" s="10" t="s">
        <v>142</v>
      </c>
      <c r="F4" s="14" t="n">
        <v>45157</v>
      </c>
      <c r="G4" s="10" t="n">
        <v>21</v>
      </c>
    </row>
    <row r="5" customFormat="false" ht="15" hidden="false" customHeight="false" outlineLevel="0" collapsed="false">
      <c r="A5" s="11" t="n">
        <v>4</v>
      </c>
      <c r="B5" s="11" t="s">
        <v>146</v>
      </c>
      <c r="C5" s="11" t="s">
        <v>147</v>
      </c>
      <c r="D5" s="11" t="s">
        <v>65</v>
      </c>
      <c r="E5" s="11" t="s">
        <v>142</v>
      </c>
      <c r="F5" s="15" t="n">
        <v>44188</v>
      </c>
      <c r="G5" s="11" t="n">
        <v>58</v>
      </c>
    </row>
    <row r="6" customFormat="false" ht="15" hidden="false" customHeight="false" outlineLevel="0" collapsed="false">
      <c r="A6" s="10" t="n">
        <v>5</v>
      </c>
      <c r="B6" s="10" t="s">
        <v>148</v>
      </c>
      <c r="C6" s="10" t="s">
        <v>149</v>
      </c>
      <c r="D6" s="10" t="s">
        <v>65</v>
      </c>
      <c r="E6" s="10" t="s">
        <v>142</v>
      </c>
      <c r="F6" s="14" t="n">
        <v>43892</v>
      </c>
      <c r="G6" s="10" t="n">
        <v>64</v>
      </c>
    </row>
    <row r="7" customFormat="false" ht="15" hidden="false" customHeight="false" outlineLevel="0" collapsed="false">
      <c r="A7" s="11" t="n">
        <v>6</v>
      </c>
      <c r="B7" s="11" t="s">
        <v>150</v>
      </c>
      <c r="C7" s="11" t="s">
        <v>151</v>
      </c>
      <c r="D7" s="11" t="s">
        <v>65</v>
      </c>
      <c r="E7" s="11" t="s">
        <v>139</v>
      </c>
      <c r="F7" s="15" t="n">
        <v>44903</v>
      </c>
      <c r="G7" s="11" t="n">
        <v>57</v>
      </c>
    </row>
    <row r="8" customFormat="false" ht="15" hidden="false" customHeight="false" outlineLevel="0" collapsed="false">
      <c r="A8" s="10" t="n">
        <v>7</v>
      </c>
      <c r="B8" s="10" t="s">
        <v>152</v>
      </c>
      <c r="C8" s="10" t="s">
        <v>153</v>
      </c>
      <c r="D8" s="10" t="s">
        <v>61</v>
      </c>
      <c r="E8" s="10" t="s">
        <v>142</v>
      </c>
      <c r="F8" s="14" t="n">
        <v>44896</v>
      </c>
      <c r="G8" s="10" t="n">
        <v>64</v>
      </c>
    </row>
    <row r="9" customFormat="false" ht="15" hidden="false" customHeight="false" outlineLevel="0" collapsed="false">
      <c r="A9" s="11" t="n">
        <v>8</v>
      </c>
      <c r="B9" s="11" t="s">
        <v>154</v>
      </c>
      <c r="C9" s="11" t="s">
        <v>155</v>
      </c>
      <c r="D9" s="11" t="s">
        <v>156</v>
      </c>
      <c r="E9" s="11" t="s">
        <v>139</v>
      </c>
      <c r="F9" s="15" t="n">
        <v>45504</v>
      </c>
      <c r="G9" s="11" t="n">
        <v>33</v>
      </c>
    </row>
    <row r="10" customFormat="false" ht="15" hidden="false" customHeight="false" outlineLevel="0" collapsed="false">
      <c r="A10" s="10" t="n">
        <v>9</v>
      </c>
      <c r="B10" s="10" t="s">
        <v>157</v>
      </c>
      <c r="C10" s="10" t="s">
        <v>158</v>
      </c>
      <c r="D10" s="10" t="s">
        <v>156</v>
      </c>
      <c r="E10" s="10" t="s">
        <v>159</v>
      </c>
      <c r="F10" s="14" t="n">
        <v>45986</v>
      </c>
      <c r="G10" s="10" t="n">
        <v>25</v>
      </c>
    </row>
    <row r="11" customFormat="false" ht="15" hidden="false" customHeight="false" outlineLevel="0" collapsed="false">
      <c r="A11" s="11" t="n">
        <v>10</v>
      </c>
      <c r="B11" s="11" t="s">
        <v>160</v>
      </c>
      <c r="C11" s="11" t="s">
        <v>161</v>
      </c>
      <c r="D11" s="11" t="s">
        <v>156</v>
      </c>
      <c r="E11" s="11" t="s">
        <v>139</v>
      </c>
      <c r="F11" s="15" t="n">
        <v>45118</v>
      </c>
      <c r="G11" s="11" t="n">
        <v>58</v>
      </c>
    </row>
    <row r="12" customFormat="false" ht="15" hidden="false" customHeight="false" outlineLevel="0" collapsed="false">
      <c r="A12" s="10" t="n">
        <v>11</v>
      </c>
      <c r="B12" s="10" t="s">
        <v>162</v>
      </c>
      <c r="C12" s="10" t="s">
        <v>163</v>
      </c>
      <c r="D12" s="10" t="s">
        <v>61</v>
      </c>
      <c r="E12" s="10" t="s">
        <v>142</v>
      </c>
      <c r="F12" s="14" t="n">
        <v>44282</v>
      </c>
      <c r="G12" s="10" t="n">
        <v>54</v>
      </c>
    </row>
    <row r="13" customFormat="false" ht="15" hidden="false" customHeight="false" outlineLevel="0" collapsed="false">
      <c r="A13" s="11" t="n">
        <v>12</v>
      </c>
      <c r="B13" s="11" t="s">
        <v>164</v>
      </c>
      <c r="C13" s="11" t="s">
        <v>165</v>
      </c>
      <c r="D13" s="11" t="s">
        <v>145</v>
      </c>
      <c r="E13" s="11" t="s">
        <v>142</v>
      </c>
      <c r="F13" s="15" t="n">
        <v>45061</v>
      </c>
      <c r="G13" s="11" t="n">
        <v>55</v>
      </c>
    </row>
    <row r="14" customFormat="false" ht="15" hidden="false" customHeight="false" outlineLevel="0" collapsed="false">
      <c r="A14" s="10" t="n">
        <v>13</v>
      </c>
      <c r="B14" s="10" t="s">
        <v>166</v>
      </c>
      <c r="C14" s="10" t="s">
        <v>167</v>
      </c>
      <c r="D14" s="10" t="s">
        <v>77</v>
      </c>
      <c r="E14" s="10" t="s">
        <v>142</v>
      </c>
      <c r="F14" s="14" t="n">
        <v>44482</v>
      </c>
      <c r="G14" s="10" t="n">
        <v>56</v>
      </c>
    </row>
    <row r="15" customFormat="false" ht="15" hidden="false" customHeight="false" outlineLevel="0" collapsed="false">
      <c r="A15" s="11" t="n">
        <v>14</v>
      </c>
      <c r="B15" s="11" t="s">
        <v>168</v>
      </c>
      <c r="C15" s="11" t="s">
        <v>169</v>
      </c>
      <c r="D15" s="11" t="s">
        <v>61</v>
      </c>
      <c r="E15" s="11" t="s">
        <v>142</v>
      </c>
      <c r="F15" s="15" t="n">
        <v>45129</v>
      </c>
      <c r="G15" s="11" t="n">
        <v>62</v>
      </c>
    </row>
    <row r="16" customFormat="false" ht="15" hidden="false" customHeight="false" outlineLevel="0" collapsed="false">
      <c r="A16" s="10" t="n">
        <v>15</v>
      </c>
      <c r="B16" s="10" t="s">
        <v>170</v>
      </c>
      <c r="C16" s="10" t="s">
        <v>171</v>
      </c>
      <c r="D16" s="10" t="s">
        <v>156</v>
      </c>
      <c r="E16" s="10" t="s">
        <v>142</v>
      </c>
      <c r="F16" s="14" t="n">
        <v>45059</v>
      </c>
      <c r="G16" s="10" t="n">
        <v>34</v>
      </c>
    </row>
    <row r="17" customFormat="false" ht="15" hidden="false" customHeight="false" outlineLevel="0" collapsed="false">
      <c r="A17" s="11" t="n">
        <v>16</v>
      </c>
      <c r="B17" s="11" t="s">
        <v>172</v>
      </c>
      <c r="C17" s="11" t="s">
        <v>173</v>
      </c>
      <c r="D17" s="11" t="s">
        <v>145</v>
      </c>
      <c r="E17" s="11" t="s">
        <v>159</v>
      </c>
      <c r="F17" s="15" t="n">
        <v>45941</v>
      </c>
      <c r="G17" s="11" t="n">
        <v>49</v>
      </c>
    </row>
    <row r="18" customFormat="false" ht="15" hidden="false" customHeight="false" outlineLevel="0" collapsed="false">
      <c r="A18" s="10" t="n">
        <v>17</v>
      </c>
      <c r="B18" s="10" t="s">
        <v>174</v>
      </c>
      <c r="C18" s="10" t="s">
        <v>175</v>
      </c>
      <c r="D18" s="10" t="s">
        <v>156</v>
      </c>
      <c r="E18" s="10" t="s">
        <v>139</v>
      </c>
      <c r="F18" s="14" t="n">
        <v>45489</v>
      </c>
      <c r="G18" s="10" t="n">
        <v>43</v>
      </c>
    </row>
    <row r="19" customFormat="false" ht="15" hidden="false" customHeight="false" outlineLevel="0" collapsed="false">
      <c r="A19" s="11" t="n">
        <v>18</v>
      </c>
      <c r="B19" s="11" t="s">
        <v>176</v>
      </c>
      <c r="C19" s="11" t="s">
        <v>177</v>
      </c>
      <c r="D19" s="11" t="s">
        <v>156</v>
      </c>
      <c r="E19" s="11" t="s">
        <v>139</v>
      </c>
      <c r="F19" s="15" t="n">
        <v>45676</v>
      </c>
      <c r="G19" s="11" t="n">
        <v>58</v>
      </c>
    </row>
    <row r="20" customFormat="false" ht="15" hidden="false" customHeight="false" outlineLevel="0" collapsed="false">
      <c r="A20" s="10" t="n">
        <v>19</v>
      </c>
      <c r="B20" s="10" t="s">
        <v>178</v>
      </c>
      <c r="C20" s="10" t="s">
        <v>179</v>
      </c>
      <c r="D20" s="10" t="s">
        <v>77</v>
      </c>
      <c r="E20" s="10" t="s">
        <v>139</v>
      </c>
      <c r="F20" s="14" t="n">
        <v>45321</v>
      </c>
      <c r="G20" s="10" t="n">
        <v>30</v>
      </c>
    </row>
    <row r="21" customFormat="false" ht="15" hidden="false" customHeight="false" outlineLevel="0" collapsed="false">
      <c r="A21" s="11" t="n">
        <v>20</v>
      </c>
      <c r="B21" s="11" t="s">
        <v>180</v>
      </c>
      <c r="C21" s="11" t="s">
        <v>181</v>
      </c>
      <c r="D21" s="11" t="s">
        <v>156</v>
      </c>
      <c r="E21" s="11" t="s">
        <v>139</v>
      </c>
      <c r="F21" s="15" t="n">
        <v>44682</v>
      </c>
      <c r="G21" s="11" t="n">
        <v>34</v>
      </c>
    </row>
    <row r="22" customFormat="false" ht="15" hidden="false" customHeight="false" outlineLevel="0" collapsed="false">
      <c r="A22" s="10" t="n">
        <v>21</v>
      </c>
      <c r="B22" s="10" t="s">
        <v>182</v>
      </c>
      <c r="C22" s="10" t="s">
        <v>183</v>
      </c>
      <c r="D22" s="10" t="s">
        <v>61</v>
      </c>
      <c r="E22" s="10" t="s">
        <v>139</v>
      </c>
      <c r="F22" s="14" t="n">
        <v>45353</v>
      </c>
      <c r="G22" s="10" t="n">
        <v>22</v>
      </c>
    </row>
    <row r="23" customFormat="false" ht="15" hidden="false" customHeight="false" outlineLevel="0" collapsed="false">
      <c r="A23" s="11" t="n">
        <v>22</v>
      </c>
      <c r="B23" s="11" t="s">
        <v>184</v>
      </c>
      <c r="C23" s="11" t="s">
        <v>185</v>
      </c>
      <c r="D23" s="11" t="s">
        <v>145</v>
      </c>
      <c r="E23" s="11" t="s">
        <v>139</v>
      </c>
      <c r="F23" s="15" t="n">
        <v>45274</v>
      </c>
      <c r="G23" s="11" t="n">
        <v>24</v>
      </c>
    </row>
    <row r="24" customFormat="false" ht="15" hidden="false" customHeight="false" outlineLevel="0" collapsed="false">
      <c r="A24" s="10" t="n">
        <v>23</v>
      </c>
      <c r="B24" s="10" t="s">
        <v>186</v>
      </c>
      <c r="C24" s="10" t="s">
        <v>187</v>
      </c>
      <c r="D24" s="10" t="s">
        <v>77</v>
      </c>
      <c r="E24" s="10" t="s">
        <v>142</v>
      </c>
      <c r="F24" s="14" t="n">
        <v>44578</v>
      </c>
      <c r="G24" s="10" t="n">
        <v>33</v>
      </c>
    </row>
    <row r="25" customFormat="false" ht="15" hidden="false" customHeight="false" outlineLevel="0" collapsed="false">
      <c r="A25" s="11" t="n">
        <v>24</v>
      </c>
      <c r="B25" s="11" t="s">
        <v>188</v>
      </c>
      <c r="C25" s="11" t="s">
        <v>189</v>
      </c>
      <c r="D25" s="11" t="s">
        <v>145</v>
      </c>
      <c r="E25" s="11" t="s">
        <v>139</v>
      </c>
      <c r="F25" s="15" t="n">
        <v>44883</v>
      </c>
      <c r="G25" s="11" t="n">
        <v>29</v>
      </c>
    </row>
    <row r="26" customFormat="false" ht="15" hidden="false" customHeight="false" outlineLevel="0" collapsed="false">
      <c r="A26" s="10" t="n">
        <v>25</v>
      </c>
      <c r="B26" s="10" t="s">
        <v>190</v>
      </c>
      <c r="C26" s="10" t="s">
        <v>191</v>
      </c>
      <c r="D26" s="10" t="s">
        <v>65</v>
      </c>
      <c r="E26" s="10" t="s">
        <v>142</v>
      </c>
      <c r="F26" s="14" t="n">
        <v>44073</v>
      </c>
      <c r="G26" s="10" t="n">
        <v>54</v>
      </c>
    </row>
    <row r="27" customFormat="false" ht="15" hidden="false" customHeight="false" outlineLevel="0" collapsed="false">
      <c r="A27" s="11" t="n">
        <v>26</v>
      </c>
      <c r="B27" s="11" t="s">
        <v>192</v>
      </c>
      <c r="C27" s="11" t="s">
        <v>193</v>
      </c>
      <c r="D27" s="11" t="s">
        <v>77</v>
      </c>
      <c r="E27" s="11" t="s">
        <v>142</v>
      </c>
      <c r="F27" s="15" t="n">
        <v>44345</v>
      </c>
      <c r="G27" s="11" t="n">
        <v>57</v>
      </c>
    </row>
    <row r="28" customFormat="false" ht="15" hidden="false" customHeight="false" outlineLevel="0" collapsed="false">
      <c r="A28" s="10" t="n">
        <v>27</v>
      </c>
      <c r="B28" s="10" t="s">
        <v>194</v>
      </c>
      <c r="C28" s="10" t="s">
        <v>195</v>
      </c>
      <c r="D28" s="10" t="s">
        <v>65</v>
      </c>
      <c r="E28" s="10" t="s">
        <v>139</v>
      </c>
      <c r="F28" s="14" t="n">
        <v>45539</v>
      </c>
      <c r="G28" s="10" t="n">
        <v>52</v>
      </c>
    </row>
    <row r="29" customFormat="false" ht="15" hidden="false" customHeight="false" outlineLevel="0" collapsed="false">
      <c r="A29" s="11" t="n">
        <v>28</v>
      </c>
      <c r="B29" s="11" t="s">
        <v>196</v>
      </c>
      <c r="C29" s="11" t="s">
        <v>197</v>
      </c>
      <c r="D29" s="11" t="s">
        <v>61</v>
      </c>
      <c r="E29" s="11" t="s">
        <v>139</v>
      </c>
      <c r="F29" s="15" t="n">
        <v>45598</v>
      </c>
      <c r="G29" s="11" t="n">
        <v>29</v>
      </c>
    </row>
    <row r="30" customFormat="false" ht="15" hidden="false" customHeight="false" outlineLevel="0" collapsed="false">
      <c r="A30" s="10" t="n">
        <v>29</v>
      </c>
      <c r="B30" s="10" t="s">
        <v>198</v>
      </c>
      <c r="C30" s="10" t="s">
        <v>199</v>
      </c>
      <c r="D30" s="10" t="s">
        <v>145</v>
      </c>
      <c r="E30" s="10" t="s">
        <v>139</v>
      </c>
      <c r="F30" s="14" t="n">
        <v>44601</v>
      </c>
      <c r="G30" s="10" t="n">
        <v>24</v>
      </c>
    </row>
    <row r="31" customFormat="false" ht="15" hidden="false" customHeight="false" outlineLevel="0" collapsed="false">
      <c r="A31" s="11" t="n">
        <v>30</v>
      </c>
      <c r="B31" s="11" t="s">
        <v>200</v>
      </c>
      <c r="C31" s="11" t="s">
        <v>201</v>
      </c>
      <c r="D31" s="11" t="s">
        <v>77</v>
      </c>
      <c r="E31" s="11" t="s">
        <v>139</v>
      </c>
      <c r="F31" s="15" t="n">
        <v>44864</v>
      </c>
      <c r="G31" s="11" t="n">
        <v>53</v>
      </c>
    </row>
    <row r="32" customFormat="false" ht="15" hidden="false" customHeight="false" outlineLevel="0" collapsed="false">
      <c r="A32" s="10" t="n">
        <v>31</v>
      </c>
      <c r="B32" s="10" t="s">
        <v>202</v>
      </c>
      <c r="C32" s="10" t="s">
        <v>203</v>
      </c>
      <c r="D32" s="10" t="s">
        <v>77</v>
      </c>
      <c r="E32" s="10" t="s">
        <v>142</v>
      </c>
      <c r="F32" s="14" t="n">
        <v>45199</v>
      </c>
      <c r="G32" s="10" t="n">
        <v>63</v>
      </c>
    </row>
    <row r="33" customFormat="false" ht="15" hidden="false" customHeight="false" outlineLevel="0" collapsed="false">
      <c r="A33" s="11" t="n">
        <v>32</v>
      </c>
      <c r="B33" s="11" t="s">
        <v>204</v>
      </c>
      <c r="C33" s="11" t="s">
        <v>205</v>
      </c>
      <c r="D33" s="11" t="s">
        <v>77</v>
      </c>
      <c r="E33" s="11" t="s">
        <v>139</v>
      </c>
      <c r="F33" s="15" t="n">
        <v>45276</v>
      </c>
      <c r="G33" s="11" t="n">
        <v>61</v>
      </c>
    </row>
    <row r="34" customFormat="false" ht="15" hidden="false" customHeight="false" outlineLevel="0" collapsed="false">
      <c r="A34" s="10" t="n">
        <v>33</v>
      </c>
      <c r="B34" s="10" t="s">
        <v>206</v>
      </c>
      <c r="C34" s="10" t="s">
        <v>207</v>
      </c>
      <c r="D34" s="10" t="s">
        <v>156</v>
      </c>
      <c r="E34" s="10" t="s">
        <v>142</v>
      </c>
      <c r="F34" s="14" t="n">
        <v>44332</v>
      </c>
      <c r="G34" s="10" t="n">
        <v>30</v>
      </c>
    </row>
    <row r="35" customFormat="false" ht="15" hidden="false" customHeight="false" outlineLevel="0" collapsed="false">
      <c r="A35" s="11" t="n">
        <v>34</v>
      </c>
      <c r="B35" s="11" t="s">
        <v>208</v>
      </c>
      <c r="C35" s="11" t="s">
        <v>209</v>
      </c>
      <c r="D35" s="11" t="s">
        <v>156</v>
      </c>
      <c r="E35" s="11" t="s">
        <v>139</v>
      </c>
      <c r="F35" s="15" t="n">
        <v>44797</v>
      </c>
      <c r="G35" s="11" t="n">
        <v>31</v>
      </c>
    </row>
    <row r="36" customFormat="false" ht="15" hidden="false" customHeight="false" outlineLevel="0" collapsed="false">
      <c r="A36" s="10" t="n">
        <v>35</v>
      </c>
      <c r="B36" s="10" t="s">
        <v>210</v>
      </c>
      <c r="C36" s="10" t="s">
        <v>211</v>
      </c>
      <c r="D36" s="10" t="s">
        <v>61</v>
      </c>
      <c r="E36" s="10" t="s">
        <v>139</v>
      </c>
      <c r="F36" s="14" t="n">
        <v>44542</v>
      </c>
      <c r="G36" s="10" t="n">
        <v>39</v>
      </c>
    </row>
    <row r="37" customFormat="false" ht="15" hidden="false" customHeight="false" outlineLevel="0" collapsed="false">
      <c r="A37" s="11" t="n">
        <v>36</v>
      </c>
      <c r="B37" s="11" t="s">
        <v>212</v>
      </c>
      <c r="C37" s="11" t="s">
        <v>213</v>
      </c>
      <c r="D37" s="11" t="s">
        <v>77</v>
      </c>
      <c r="E37" s="11" t="s">
        <v>139</v>
      </c>
      <c r="F37" s="15" t="n">
        <v>44575</v>
      </c>
      <c r="G37" s="11" t="n">
        <v>32</v>
      </c>
    </row>
    <row r="38" customFormat="false" ht="15" hidden="false" customHeight="false" outlineLevel="0" collapsed="false">
      <c r="A38" s="10" t="n">
        <v>37</v>
      </c>
      <c r="B38" s="10" t="s">
        <v>214</v>
      </c>
      <c r="C38" s="10" t="s">
        <v>215</v>
      </c>
      <c r="D38" s="10" t="s">
        <v>65</v>
      </c>
      <c r="E38" s="10" t="s">
        <v>142</v>
      </c>
      <c r="F38" s="14" t="n">
        <v>44118</v>
      </c>
      <c r="G38" s="10" t="n">
        <v>53</v>
      </c>
    </row>
    <row r="39" customFormat="false" ht="15" hidden="false" customHeight="false" outlineLevel="0" collapsed="false">
      <c r="A39" s="11" t="n">
        <v>38</v>
      </c>
      <c r="B39" s="11" t="s">
        <v>216</v>
      </c>
      <c r="C39" s="11" t="s">
        <v>217</v>
      </c>
      <c r="D39" s="11" t="s">
        <v>77</v>
      </c>
      <c r="E39" s="11" t="s">
        <v>159</v>
      </c>
      <c r="F39" s="15" t="n">
        <v>45930</v>
      </c>
      <c r="G39" s="11" t="n">
        <v>51</v>
      </c>
    </row>
    <row r="40" customFormat="false" ht="15" hidden="false" customHeight="false" outlineLevel="0" collapsed="false">
      <c r="A40" s="10" t="n">
        <v>39</v>
      </c>
      <c r="B40" s="10" t="s">
        <v>218</v>
      </c>
      <c r="C40" s="10" t="s">
        <v>219</v>
      </c>
      <c r="D40" s="10" t="s">
        <v>156</v>
      </c>
      <c r="E40" s="10" t="s">
        <v>142</v>
      </c>
      <c r="F40" s="14" t="n">
        <v>44593</v>
      </c>
      <c r="G40" s="10" t="n">
        <v>35</v>
      </c>
    </row>
    <row r="41" customFormat="false" ht="15" hidden="false" customHeight="false" outlineLevel="0" collapsed="false">
      <c r="A41" s="11" t="n">
        <v>40</v>
      </c>
      <c r="B41" s="11" t="s">
        <v>220</v>
      </c>
      <c r="C41" s="11" t="s">
        <v>221</v>
      </c>
      <c r="D41" s="11" t="s">
        <v>77</v>
      </c>
      <c r="E41" s="11" t="s">
        <v>142</v>
      </c>
      <c r="F41" s="15" t="n">
        <v>45061</v>
      </c>
      <c r="G41" s="11" t="n">
        <v>25</v>
      </c>
    </row>
    <row r="42" customFormat="false" ht="15" hidden="false" customHeight="false" outlineLevel="0" collapsed="false">
      <c r="A42" s="10" t="n">
        <v>41</v>
      </c>
      <c r="B42" s="10" t="s">
        <v>222</v>
      </c>
      <c r="C42" s="10" t="s">
        <v>223</v>
      </c>
      <c r="D42" s="10" t="s">
        <v>61</v>
      </c>
      <c r="E42" s="10" t="s">
        <v>139</v>
      </c>
      <c r="F42" s="14" t="n">
        <v>44732</v>
      </c>
      <c r="G42" s="10" t="n">
        <v>28</v>
      </c>
    </row>
    <row r="43" customFormat="false" ht="15" hidden="false" customHeight="false" outlineLevel="0" collapsed="false">
      <c r="A43" s="11" t="n">
        <v>42</v>
      </c>
      <c r="B43" s="11" t="s">
        <v>224</v>
      </c>
      <c r="C43" s="11" t="s">
        <v>225</v>
      </c>
      <c r="D43" s="11" t="s">
        <v>145</v>
      </c>
      <c r="E43" s="11" t="s">
        <v>142</v>
      </c>
      <c r="F43" s="15" t="n">
        <v>44097</v>
      </c>
      <c r="G43" s="11" t="n">
        <v>30</v>
      </c>
    </row>
    <row r="44" customFormat="false" ht="15" hidden="false" customHeight="false" outlineLevel="0" collapsed="false">
      <c r="A44" s="10" t="n">
        <v>43</v>
      </c>
      <c r="B44" s="10" t="s">
        <v>226</v>
      </c>
      <c r="C44" s="10" t="s">
        <v>227</v>
      </c>
      <c r="D44" s="10" t="s">
        <v>77</v>
      </c>
      <c r="E44" s="10" t="s">
        <v>142</v>
      </c>
      <c r="F44" s="14" t="n">
        <v>44356</v>
      </c>
      <c r="G44" s="10" t="n">
        <v>33</v>
      </c>
    </row>
    <row r="45" customFormat="false" ht="15" hidden="false" customHeight="false" outlineLevel="0" collapsed="false">
      <c r="A45" s="11" t="n">
        <v>44</v>
      </c>
      <c r="B45" s="11" t="s">
        <v>228</v>
      </c>
      <c r="C45" s="11" t="s">
        <v>229</v>
      </c>
      <c r="D45" s="11" t="s">
        <v>65</v>
      </c>
      <c r="E45" s="11" t="s">
        <v>159</v>
      </c>
      <c r="F45" s="15" t="n">
        <v>45933</v>
      </c>
      <c r="G45" s="11" t="n">
        <v>45</v>
      </c>
    </row>
    <row r="46" customFormat="false" ht="15" hidden="false" customHeight="false" outlineLevel="0" collapsed="false">
      <c r="A46" s="10" t="n">
        <v>45</v>
      </c>
      <c r="B46" s="10" t="s">
        <v>230</v>
      </c>
      <c r="C46" s="10" t="s">
        <v>231</v>
      </c>
      <c r="D46" s="10" t="s">
        <v>156</v>
      </c>
      <c r="E46" s="10" t="s">
        <v>159</v>
      </c>
      <c r="F46" s="14" t="n">
        <v>45900</v>
      </c>
      <c r="G46" s="10" t="n">
        <v>53</v>
      </c>
    </row>
    <row r="47" customFormat="false" ht="15" hidden="false" customHeight="false" outlineLevel="0" collapsed="false">
      <c r="A47" s="11" t="n">
        <v>46</v>
      </c>
      <c r="B47" s="11" t="s">
        <v>232</v>
      </c>
      <c r="C47" s="11" t="s">
        <v>233</v>
      </c>
      <c r="D47" s="11" t="s">
        <v>65</v>
      </c>
      <c r="E47" s="11" t="s">
        <v>139</v>
      </c>
      <c r="F47" s="15" t="n">
        <v>45362</v>
      </c>
      <c r="G47" s="11" t="n">
        <v>24</v>
      </c>
    </row>
    <row r="48" customFormat="false" ht="15" hidden="false" customHeight="false" outlineLevel="0" collapsed="false">
      <c r="A48" s="10" t="n">
        <v>47</v>
      </c>
      <c r="B48" s="10" t="s">
        <v>234</v>
      </c>
      <c r="C48" s="10" t="s">
        <v>235</v>
      </c>
      <c r="D48" s="10" t="s">
        <v>77</v>
      </c>
      <c r="E48" s="10" t="s">
        <v>142</v>
      </c>
      <c r="F48" s="14" t="n">
        <v>44088</v>
      </c>
      <c r="G48" s="10" t="n">
        <v>34</v>
      </c>
    </row>
    <row r="49" customFormat="false" ht="15" hidden="false" customHeight="false" outlineLevel="0" collapsed="false">
      <c r="A49" s="11" t="n">
        <v>48</v>
      </c>
      <c r="B49" s="11" t="s">
        <v>236</v>
      </c>
      <c r="C49" s="11" t="s">
        <v>237</v>
      </c>
      <c r="D49" s="11" t="s">
        <v>61</v>
      </c>
      <c r="E49" s="11" t="s">
        <v>139</v>
      </c>
      <c r="F49" s="15" t="n">
        <v>45677</v>
      </c>
      <c r="G49" s="11" t="n">
        <v>65</v>
      </c>
    </row>
    <row r="50" customFormat="false" ht="15" hidden="false" customHeight="false" outlineLevel="0" collapsed="false">
      <c r="A50" s="10" t="n">
        <v>49</v>
      </c>
      <c r="B50" s="10" t="s">
        <v>238</v>
      </c>
      <c r="C50" s="10" t="s">
        <v>239</v>
      </c>
      <c r="D50" s="10" t="s">
        <v>65</v>
      </c>
      <c r="E50" s="10" t="s">
        <v>139</v>
      </c>
      <c r="F50" s="14" t="n">
        <v>45684</v>
      </c>
      <c r="G50" s="10" t="n">
        <v>22</v>
      </c>
    </row>
    <row r="51" customFormat="false" ht="15" hidden="false" customHeight="false" outlineLevel="0" collapsed="false">
      <c r="A51" s="11" t="n">
        <v>50</v>
      </c>
      <c r="B51" s="11" t="s">
        <v>240</v>
      </c>
      <c r="C51" s="11" t="s">
        <v>241</v>
      </c>
      <c r="D51" s="11" t="s">
        <v>61</v>
      </c>
      <c r="E51" s="11" t="s">
        <v>159</v>
      </c>
      <c r="F51" s="15" t="n">
        <v>45881</v>
      </c>
      <c r="G51" s="11" t="n">
        <v>35</v>
      </c>
    </row>
    <row r="52" customFormat="false" ht="15" hidden="false" customHeight="false" outlineLevel="0" collapsed="false">
      <c r="A52" s="10" t="n">
        <v>51</v>
      </c>
      <c r="B52" s="10" t="s">
        <v>242</v>
      </c>
      <c r="C52" s="10" t="s">
        <v>243</v>
      </c>
      <c r="D52" s="10" t="s">
        <v>145</v>
      </c>
      <c r="E52" s="10" t="s">
        <v>142</v>
      </c>
      <c r="F52" s="14" t="n">
        <v>44784</v>
      </c>
      <c r="G52" s="10" t="n">
        <v>54</v>
      </c>
    </row>
    <row r="53" customFormat="false" ht="15" hidden="false" customHeight="false" outlineLevel="0" collapsed="false">
      <c r="A53" s="11" t="n">
        <v>52</v>
      </c>
      <c r="B53" s="11" t="s">
        <v>244</v>
      </c>
      <c r="C53" s="11" t="s">
        <v>245</v>
      </c>
      <c r="D53" s="11" t="s">
        <v>77</v>
      </c>
      <c r="E53" s="11" t="s">
        <v>142</v>
      </c>
      <c r="F53" s="15" t="n">
        <v>44042</v>
      </c>
      <c r="G53" s="11" t="n">
        <v>50</v>
      </c>
    </row>
    <row r="54" customFormat="false" ht="15" hidden="false" customHeight="false" outlineLevel="0" collapsed="false">
      <c r="A54" s="10" t="n">
        <v>53</v>
      </c>
      <c r="B54" s="10" t="s">
        <v>246</v>
      </c>
      <c r="C54" s="10" t="s">
        <v>247</v>
      </c>
      <c r="D54" s="10" t="s">
        <v>145</v>
      </c>
      <c r="E54" s="10" t="s">
        <v>142</v>
      </c>
      <c r="F54" s="14" t="n">
        <v>44389</v>
      </c>
      <c r="G54" s="10" t="n">
        <v>32</v>
      </c>
    </row>
    <row r="55" customFormat="false" ht="15" hidden="false" customHeight="false" outlineLevel="0" collapsed="false">
      <c r="A55" s="11" t="n">
        <v>54</v>
      </c>
      <c r="B55" s="11" t="s">
        <v>248</v>
      </c>
      <c r="C55" s="11" t="s">
        <v>249</v>
      </c>
      <c r="D55" s="11" t="s">
        <v>145</v>
      </c>
      <c r="E55" s="11" t="s">
        <v>142</v>
      </c>
      <c r="F55" s="15" t="n">
        <v>44497</v>
      </c>
      <c r="G55" s="11" t="n">
        <v>47</v>
      </c>
    </row>
    <row r="56" customFormat="false" ht="15" hidden="false" customHeight="false" outlineLevel="0" collapsed="false">
      <c r="A56" s="10" t="n">
        <v>55</v>
      </c>
      <c r="B56" s="10" t="s">
        <v>250</v>
      </c>
      <c r="C56" s="10" t="s">
        <v>251</v>
      </c>
      <c r="D56" s="10" t="s">
        <v>61</v>
      </c>
      <c r="E56" s="10" t="s">
        <v>139</v>
      </c>
      <c r="F56" s="14" t="n">
        <v>45621</v>
      </c>
      <c r="G56" s="10" t="n">
        <v>23</v>
      </c>
    </row>
    <row r="57" customFormat="false" ht="15" hidden="false" customHeight="false" outlineLevel="0" collapsed="false">
      <c r="A57" s="11" t="n">
        <v>56</v>
      </c>
      <c r="B57" s="11" t="s">
        <v>252</v>
      </c>
      <c r="C57" s="11" t="s">
        <v>253</v>
      </c>
      <c r="D57" s="11" t="s">
        <v>156</v>
      </c>
      <c r="E57" s="11" t="s">
        <v>139</v>
      </c>
      <c r="F57" s="15" t="n">
        <v>45599</v>
      </c>
      <c r="G57" s="11" t="n">
        <v>35</v>
      </c>
    </row>
    <row r="58" customFormat="false" ht="15" hidden="false" customHeight="false" outlineLevel="0" collapsed="false">
      <c r="A58" s="10" t="n">
        <v>57</v>
      </c>
      <c r="B58" s="10" t="s">
        <v>254</v>
      </c>
      <c r="C58" s="10" t="s">
        <v>255</v>
      </c>
      <c r="D58" s="10" t="s">
        <v>77</v>
      </c>
      <c r="E58" s="10" t="s">
        <v>142</v>
      </c>
      <c r="F58" s="14" t="n">
        <v>44304</v>
      </c>
      <c r="G58" s="10" t="n">
        <v>28</v>
      </c>
    </row>
    <row r="59" customFormat="false" ht="15" hidden="false" customHeight="false" outlineLevel="0" collapsed="false">
      <c r="A59" s="11" t="n">
        <v>58</v>
      </c>
      <c r="B59" s="11" t="s">
        <v>256</v>
      </c>
      <c r="C59" s="11" t="s">
        <v>257</v>
      </c>
      <c r="D59" s="11" t="s">
        <v>156</v>
      </c>
      <c r="E59" s="11" t="s">
        <v>139</v>
      </c>
      <c r="F59" s="15" t="n">
        <v>44875</v>
      </c>
      <c r="G59" s="11" t="n">
        <v>35</v>
      </c>
    </row>
    <row r="60" customFormat="false" ht="15" hidden="false" customHeight="false" outlineLevel="0" collapsed="false">
      <c r="A60" s="10" t="n">
        <v>59</v>
      </c>
      <c r="B60" s="10" t="s">
        <v>258</v>
      </c>
      <c r="C60" s="10" t="s">
        <v>259</v>
      </c>
      <c r="D60" s="10" t="s">
        <v>61</v>
      </c>
      <c r="E60" s="10" t="s">
        <v>159</v>
      </c>
      <c r="F60" s="14" t="n">
        <v>45899</v>
      </c>
      <c r="G60" s="10" t="n">
        <v>55</v>
      </c>
    </row>
    <row r="61" customFormat="false" ht="15" hidden="false" customHeight="false" outlineLevel="0" collapsed="false">
      <c r="A61" s="11" t="n">
        <v>60</v>
      </c>
      <c r="B61" s="11" t="s">
        <v>260</v>
      </c>
      <c r="C61" s="11" t="s">
        <v>261</v>
      </c>
      <c r="D61" s="11" t="s">
        <v>77</v>
      </c>
      <c r="E61" s="11" t="s">
        <v>142</v>
      </c>
      <c r="F61" s="15" t="n">
        <v>45192</v>
      </c>
      <c r="G61" s="11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30" hidden="false" customHeight="true" outlineLevel="0" collapsed="false">
      <c r="A1" s="5" t="s">
        <v>262</v>
      </c>
      <c r="B1" s="5" t="s">
        <v>54</v>
      </c>
      <c r="C1" s="5" t="s">
        <v>52</v>
      </c>
      <c r="D1" s="5" t="s">
        <v>263</v>
      </c>
      <c r="E1" s="5" t="s">
        <v>264</v>
      </c>
    </row>
    <row r="2" customFormat="false" ht="15" hidden="false" customHeight="false" outlineLevel="0" collapsed="false">
      <c r="A2" s="10" t="n">
        <v>1</v>
      </c>
      <c r="B2" s="10" t="s">
        <v>265</v>
      </c>
      <c r="C2" s="10" t="n">
        <v>1</v>
      </c>
      <c r="D2" s="10" t="s">
        <v>266</v>
      </c>
      <c r="E2" s="10" t="s">
        <v>267</v>
      </c>
    </row>
    <row r="3" customFormat="false" ht="15" hidden="false" customHeight="false" outlineLevel="0" collapsed="false">
      <c r="A3" s="11" t="n">
        <v>2</v>
      </c>
      <c r="B3" s="11" t="s">
        <v>268</v>
      </c>
      <c r="C3" s="11" t="n">
        <v>1</v>
      </c>
      <c r="D3" s="11" t="s">
        <v>269</v>
      </c>
      <c r="E3" s="11" t="s">
        <v>270</v>
      </c>
    </row>
    <row r="4" customFormat="false" ht="15" hidden="false" customHeight="false" outlineLevel="0" collapsed="false">
      <c r="A4" s="10" t="n">
        <v>3</v>
      </c>
      <c r="B4" s="10" t="s">
        <v>271</v>
      </c>
      <c r="C4" s="10" t="n">
        <v>1</v>
      </c>
      <c r="D4" s="10" t="s">
        <v>272</v>
      </c>
      <c r="E4" s="10" t="s">
        <v>270</v>
      </c>
    </row>
    <row r="5" customFormat="false" ht="15" hidden="false" customHeight="false" outlineLevel="0" collapsed="false">
      <c r="A5" s="11" t="n">
        <v>4</v>
      </c>
      <c r="B5" s="11" t="s">
        <v>273</v>
      </c>
      <c r="C5" s="11" t="n">
        <v>2</v>
      </c>
      <c r="D5" s="11" t="s">
        <v>274</v>
      </c>
      <c r="E5" s="11" t="s">
        <v>267</v>
      </c>
    </row>
    <row r="6" customFormat="false" ht="15" hidden="false" customHeight="false" outlineLevel="0" collapsed="false">
      <c r="A6" s="10" t="n">
        <v>5</v>
      </c>
      <c r="B6" s="10" t="s">
        <v>275</v>
      </c>
      <c r="C6" s="10" t="n">
        <v>2</v>
      </c>
      <c r="D6" s="10" t="s">
        <v>276</v>
      </c>
      <c r="E6" s="10" t="s">
        <v>270</v>
      </c>
    </row>
    <row r="7" customFormat="false" ht="15" hidden="false" customHeight="false" outlineLevel="0" collapsed="false">
      <c r="A7" s="11" t="n">
        <v>6</v>
      </c>
      <c r="B7" s="11" t="s">
        <v>277</v>
      </c>
      <c r="C7" s="11" t="n">
        <v>3</v>
      </c>
      <c r="D7" s="11" t="s">
        <v>278</v>
      </c>
      <c r="E7" s="11" t="s">
        <v>267</v>
      </c>
    </row>
    <row r="8" customFormat="false" ht="15" hidden="false" customHeight="false" outlineLevel="0" collapsed="false">
      <c r="A8" s="10" t="n">
        <v>7</v>
      </c>
      <c r="B8" s="10" t="s">
        <v>279</v>
      </c>
      <c r="C8" s="10" t="n">
        <v>3</v>
      </c>
      <c r="D8" s="10" t="s">
        <v>280</v>
      </c>
      <c r="E8" s="10" t="s">
        <v>270</v>
      </c>
    </row>
    <row r="9" customFormat="false" ht="15" hidden="false" customHeight="false" outlineLevel="0" collapsed="false">
      <c r="A9" s="11" t="n">
        <v>8</v>
      </c>
      <c r="B9" s="11" t="s">
        <v>281</v>
      </c>
      <c r="C9" s="11" t="n">
        <v>4</v>
      </c>
      <c r="D9" s="11" t="s">
        <v>282</v>
      </c>
      <c r="E9" s="11" t="s">
        <v>267</v>
      </c>
    </row>
    <row r="10" customFormat="false" ht="15" hidden="false" customHeight="false" outlineLevel="0" collapsed="false">
      <c r="A10" s="10" t="n">
        <v>9</v>
      </c>
      <c r="B10" s="10" t="s">
        <v>283</v>
      </c>
      <c r="C10" s="10" t="n">
        <v>4</v>
      </c>
      <c r="D10" s="10" t="s">
        <v>284</v>
      </c>
      <c r="E10" s="10" t="s">
        <v>270</v>
      </c>
    </row>
    <row r="11" customFormat="false" ht="15" hidden="false" customHeight="false" outlineLevel="0" collapsed="false">
      <c r="A11" s="11" t="n">
        <v>10</v>
      </c>
      <c r="B11" s="11" t="s">
        <v>285</v>
      </c>
      <c r="C11" s="11" t="n">
        <v>5</v>
      </c>
      <c r="D11" s="11" t="s">
        <v>286</v>
      </c>
      <c r="E11" s="11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30" hidden="false" customHeight="true" outlineLevel="0" collapsed="false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  <c r="F1" s="5" t="s">
        <v>292</v>
      </c>
      <c r="G1" s="5" t="s">
        <v>293</v>
      </c>
      <c r="H1" s="5" t="s">
        <v>294</v>
      </c>
    </row>
    <row r="2" customFormat="false" ht="15" hidden="false" customHeight="false" outlineLevel="0" collapsed="false">
      <c r="A2" s="14" t="n">
        <v>45658</v>
      </c>
      <c r="B2" s="10" t="n">
        <v>2025</v>
      </c>
      <c r="C2" s="10" t="n">
        <v>1</v>
      </c>
      <c r="D2" s="10" t="s">
        <v>295</v>
      </c>
      <c r="E2" s="10" t="s">
        <v>296</v>
      </c>
      <c r="F2" s="10" t="n">
        <v>3</v>
      </c>
      <c r="G2" s="10" t="s">
        <v>297</v>
      </c>
      <c r="H2" s="10" t="s">
        <v>298</v>
      </c>
    </row>
    <row r="3" customFormat="false" ht="15" hidden="false" customHeight="false" outlineLevel="0" collapsed="false">
      <c r="A3" s="15" t="n">
        <v>45659</v>
      </c>
      <c r="B3" s="11" t="n">
        <v>2025</v>
      </c>
      <c r="C3" s="11" t="n">
        <v>1</v>
      </c>
      <c r="D3" s="11" t="s">
        <v>295</v>
      </c>
      <c r="E3" s="11" t="s">
        <v>296</v>
      </c>
      <c r="F3" s="11" t="n">
        <v>4</v>
      </c>
      <c r="G3" s="11" t="s">
        <v>299</v>
      </c>
      <c r="H3" s="11" t="s">
        <v>298</v>
      </c>
    </row>
    <row r="4" customFormat="false" ht="15" hidden="false" customHeight="false" outlineLevel="0" collapsed="false">
      <c r="A4" s="14" t="n">
        <v>45660</v>
      </c>
      <c r="B4" s="10" t="n">
        <v>2025</v>
      </c>
      <c r="C4" s="10" t="n">
        <v>1</v>
      </c>
      <c r="D4" s="10" t="s">
        <v>295</v>
      </c>
      <c r="E4" s="10" t="s">
        <v>296</v>
      </c>
      <c r="F4" s="10" t="n">
        <v>5</v>
      </c>
      <c r="G4" s="10" t="s">
        <v>300</v>
      </c>
      <c r="H4" s="10" t="s">
        <v>298</v>
      </c>
    </row>
    <row r="5" customFormat="false" ht="15" hidden="false" customHeight="false" outlineLevel="0" collapsed="false">
      <c r="A5" s="15" t="n">
        <v>45661</v>
      </c>
      <c r="B5" s="11" t="n">
        <v>2025</v>
      </c>
      <c r="C5" s="11" t="n">
        <v>1</v>
      </c>
      <c r="D5" s="11" t="s">
        <v>295</v>
      </c>
      <c r="E5" s="11" t="s">
        <v>296</v>
      </c>
      <c r="F5" s="11" t="n">
        <v>6</v>
      </c>
      <c r="G5" s="11" t="s">
        <v>301</v>
      </c>
      <c r="H5" s="11" t="s">
        <v>302</v>
      </c>
    </row>
    <row r="6" customFormat="false" ht="15" hidden="false" customHeight="false" outlineLevel="0" collapsed="false">
      <c r="A6" s="14" t="n">
        <v>45662</v>
      </c>
      <c r="B6" s="10" t="n">
        <v>2025</v>
      </c>
      <c r="C6" s="10" t="n">
        <v>1</v>
      </c>
      <c r="D6" s="10" t="s">
        <v>295</v>
      </c>
      <c r="E6" s="10" t="s">
        <v>296</v>
      </c>
      <c r="F6" s="10" t="n">
        <v>7</v>
      </c>
      <c r="G6" s="10" t="s">
        <v>303</v>
      </c>
      <c r="H6" s="10" t="s">
        <v>302</v>
      </c>
    </row>
    <row r="7" customFormat="false" ht="15" hidden="false" customHeight="false" outlineLevel="0" collapsed="false">
      <c r="A7" s="15" t="n">
        <v>45663</v>
      </c>
      <c r="B7" s="11" t="n">
        <v>2025</v>
      </c>
      <c r="C7" s="11" t="n">
        <v>1</v>
      </c>
      <c r="D7" s="11" t="s">
        <v>295</v>
      </c>
      <c r="E7" s="11" t="s">
        <v>296</v>
      </c>
      <c r="F7" s="11" t="n">
        <v>1</v>
      </c>
      <c r="G7" s="11" t="s">
        <v>304</v>
      </c>
      <c r="H7" s="11" t="s">
        <v>298</v>
      </c>
    </row>
    <row r="8" customFormat="false" ht="15" hidden="false" customHeight="false" outlineLevel="0" collapsed="false">
      <c r="A8" s="14" t="n">
        <v>45664</v>
      </c>
      <c r="B8" s="10" t="n">
        <v>2025</v>
      </c>
      <c r="C8" s="10" t="n">
        <v>1</v>
      </c>
      <c r="D8" s="10" t="s">
        <v>295</v>
      </c>
      <c r="E8" s="10" t="s">
        <v>296</v>
      </c>
      <c r="F8" s="10" t="n">
        <v>2</v>
      </c>
      <c r="G8" s="10" t="s">
        <v>305</v>
      </c>
      <c r="H8" s="10" t="s">
        <v>298</v>
      </c>
    </row>
    <row r="9" customFormat="false" ht="15" hidden="false" customHeight="false" outlineLevel="0" collapsed="false">
      <c r="A9" s="15" t="n">
        <v>45665</v>
      </c>
      <c r="B9" s="11" t="n">
        <v>2025</v>
      </c>
      <c r="C9" s="11" t="n">
        <v>1</v>
      </c>
      <c r="D9" s="11" t="s">
        <v>295</v>
      </c>
      <c r="E9" s="11" t="s">
        <v>296</v>
      </c>
      <c r="F9" s="11" t="n">
        <v>3</v>
      </c>
      <c r="G9" s="11" t="s">
        <v>297</v>
      </c>
      <c r="H9" s="11" t="s">
        <v>298</v>
      </c>
    </row>
    <row r="10" customFormat="false" ht="15" hidden="false" customHeight="false" outlineLevel="0" collapsed="false">
      <c r="A10" s="14" t="n">
        <v>45666</v>
      </c>
      <c r="B10" s="10" t="n">
        <v>2025</v>
      </c>
      <c r="C10" s="10" t="n">
        <v>1</v>
      </c>
      <c r="D10" s="10" t="s">
        <v>295</v>
      </c>
      <c r="E10" s="10" t="s">
        <v>296</v>
      </c>
      <c r="F10" s="10" t="n">
        <v>4</v>
      </c>
      <c r="G10" s="10" t="s">
        <v>299</v>
      </c>
      <c r="H10" s="10" t="s">
        <v>298</v>
      </c>
    </row>
    <row r="11" customFormat="false" ht="15" hidden="false" customHeight="false" outlineLevel="0" collapsed="false">
      <c r="A11" s="15" t="n">
        <v>45667</v>
      </c>
      <c r="B11" s="11" t="n">
        <v>2025</v>
      </c>
      <c r="C11" s="11" t="n">
        <v>1</v>
      </c>
      <c r="D11" s="11" t="s">
        <v>295</v>
      </c>
      <c r="E11" s="11" t="s">
        <v>296</v>
      </c>
      <c r="F11" s="11" t="n">
        <v>5</v>
      </c>
      <c r="G11" s="11" t="s">
        <v>300</v>
      </c>
      <c r="H11" s="11" t="s">
        <v>298</v>
      </c>
    </row>
    <row r="12" customFormat="false" ht="15" hidden="false" customHeight="false" outlineLevel="0" collapsed="false">
      <c r="A12" s="14" t="n">
        <v>45668</v>
      </c>
      <c r="B12" s="10" t="n">
        <v>2025</v>
      </c>
      <c r="C12" s="10" t="n">
        <v>1</v>
      </c>
      <c r="D12" s="10" t="s">
        <v>295</v>
      </c>
      <c r="E12" s="10" t="s">
        <v>296</v>
      </c>
      <c r="F12" s="10" t="n">
        <v>6</v>
      </c>
      <c r="G12" s="10" t="s">
        <v>301</v>
      </c>
      <c r="H12" s="10" t="s">
        <v>302</v>
      </c>
    </row>
    <row r="13" customFormat="false" ht="15" hidden="false" customHeight="false" outlineLevel="0" collapsed="false">
      <c r="A13" s="15" t="n">
        <v>45669</v>
      </c>
      <c r="B13" s="11" t="n">
        <v>2025</v>
      </c>
      <c r="C13" s="11" t="n">
        <v>1</v>
      </c>
      <c r="D13" s="11" t="s">
        <v>295</v>
      </c>
      <c r="E13" s="11" t="s">
        <v>296</v>
      </c>
      <c r="F13" s="11" t="n">
        <v>7</v>
      </c>
      <c r="G13" s="11" t="s">
        <v>303</v>
      </c>
      <c r="H13" s="11" t="s">
        <v>302</v>
      </c>
    </row>
    <row r="14" customFormat="false" ht="15" hidden="false" customHeight="false" outlineLevel="0" collapsed="false">
      <c r="A14" s="14" t="n">
        <v>45670</v>
      </c>
      <c r="B14" s="10" t="n">
        <v>2025</v>
      </c>
      <c r="C14" s="10" t="n">
        <v>1</v>
      </c>
      <c r="D14" s="10" t="s">
        <v>295</v>
      </c>
      <c r="E14" s="10" t="s">
        <v>296</v>
      </c>
      <c r="F14" s="10" t="n">
        <v>1</v>
      </c>
      <c r="G14" s="10" t="s">
        <v>304</v>
      </c>
      <c r="H14" s="10" t="s">
        <v>298</v>
      </c>
    </row>
    <row r="15" customFormat="false" ht="15" hidden="false" customHeight="false" outlineLevel="0" collapsed="false">
      <c r="A15" s="15" t="n">
        <v>45671</v>
      </c>
      <c r="B15" s="11" t="n">
        <v>2025</v>
      </c>
      <c r="C15" s="11" t="n">
        <v>1</v>
      </c>
      <c r="D15" s="11" t="s">
        <v>295</v>
      </c>
      <c r="E15" s="11" t="s">
        <v>296</v>
      </c>
      <c r="F15" s="11" t="n">
        <v>2</v>
      </c>
      <c r="G15" s="11" t="s">
        <v>305</v>
      </c>
      <c r="H15" s="11" t="s">
        <v>298</v>
      </c>
    </row>
    <row r="16" customFormat="false" ht="15" hidden="false" customHeight="false" outlineLevel="0" collapsed="false">
      <c r="A16" s="14" t="n">
        <v>45672</v>
      </c>
      <c r="B16" s="10" t="n">
        <v>2025</v>
      </c>
      <c r="C16" s="10" t="n">
        <v>1</v>
      </c>
      <c r="D16" s="10" t="s">
        <v>295</v>
      </c>
      <c r="E16" s="10" t="s">
        <v>296</v>
      </c>
      <c r="F16" s="10" t="n">
        <v>3</v>
      </c>
      <c r="G16" s="10" t="s">
        <v>297</v>
      </c>
      <c r="H16" s="10" t="s">
        <v>298</v>
      </c>
    </row>
    <row r="17" customFormat="false" ht="15" hidden="false" customHeight="false" outlineLevel="0" collapsed="false">
      <c r="A17" s="15" t="n">
        <v>45673</v>
      </c>
      <c r="B17" s="11" t="n">
        <v>2025</v>
      </c>
      <c r="C17" s="11" t="n">
        <v>1</v>
      </c>
      <c r="D17" s="11" t="s">
        <v>295</v>
      </c>
      <c r="E17" s="11" t="s">
        <v>296</v>
      </c>
      <c r="F17" s="11" t="n">
        <v>4</v>
      </c>
      <c r="G17" s="11" t="s">
        <v>299</v>
      </c>
      <c r="H17" s="11" t="s">
        <v>298</v>
      </c>
    </row>
    <row r="18" customFormat="false" ht="15" hidden="false" customHeight="false" outlineLevel="0" collapsed="false">
      <c r="A18" s="14" t="n">
        <v>45674</v>
      </c>
      <c r="B18" s="10" t="n">
        <v>2025</v>
      </c>
      <c r="C18" s="10" t="n">
        <v>1</v>
      </c>
      <c r="D18" s="10" t="s">
        <v>295</v>
      </c>
      <c r="E18" s="10" t="s">
        <v>296</v>
      </c>
      <c r="F18" s="10" t="n">
        <v>5</v>
      </c>
      <c r="G18" s="10" t="s">
        <v>300</v>
      </c>
      <c r="H18" s="10" t="s">
        <v>298</v>
      </c>
    </row>
    <row r="19" customFormat="false" ht="15" hidden="false" customHeight="false" outlineLevel="0" collapsed="false">
      <c r="A19" s="15" t="n">
        <v>45675</v>
      </c>
      <c r="B19" s="11" t="n">
        <v>2025</v>
      </c>
      <c r="C19" s="11" t="n">
        <v>1</v>
      </c>
      <c r="D19" s="11" t="s">
        <v>295</v>
      </c>
      <c r="E19" s="11" t="s">
        <v>296</v>
      </c>
      <c r="F19" s="11" t="n">
        <v>6</v>
      </c>
      <c r="G19" s="11" t="s">
        <v>301</v>
      </c>
      <c r="H19" s="11" t="s">
        <v>302</v>
      </c>
    </row>
    <row r="20" customFormat="false" ht="15" hidden="false" customHeight="false" outlineLevel="0" collapsed="false">
      <c r="A20" s="14" t="n">
        <v>45676</v>
      </c>
      <c r="B20" s="10" t="n">
        <v>2025</v>
      </c>
      <c r="C20" s="10" t="n">
        <v>1</v>
      </c>
      <c r="D20" s="10" t="s">
        <v>295</v>
      </c>
      <c r="E20" s="10" t="s">
        <v>296</v>
      </c>
      <c r="F20" s="10" t="n">
        <v>7</v>
      </c>
      <c r="G20" s="10" t="s">
        <v>303</v>
      </c>
      <c r="H20" s="10" t="s">
        <v>302</v>
      </c>
    </row>
    <row r="21" customFormat="false" ht="15" hidden="false" customHeight="false" outlineLevel="0" collapsed="false">
      <c r="A21" s="15" t="n">
        <v>45677</v>
      </c>
      <c r="B21" s="11" t="n">
        <v>2025</v>
      </c>
      <c r="C21" s="11" t="n">
        <v>1</v>
      </c>
      <c r="D21" s="11" t="s">
        <v>295</v>
      </c>
      <c r="E21" s="11" t="s">
        <v>296</v>
      </c>
      <c r="F21" s="11" t="n">
        <v>1</v>
      </c>
      <c r="G21" s="11" t="s">
        <v>304</v>
      </c>
      <c r="H21" s="11" t="s">
        <v>298</v>
      </c>
    </row>
    <row r="22" customFormat="false" ht="15" hidden="false" customHeight="false" outlineLevel="0" collapsed="false">
      <c r="A22" s="14" t="n">
        <v>45678</v>
      </c>
      <c r="B22" s="10" t="n">
        <v>2025</v>
      </c>
      <c r="C22" s="10" t="n">
        <v>1</v>
      </c>
      <c r="D22" s="10" t="s">
        <v>295</v>
      </c>
      <c r="E22" s="10" t="s">
        <v>296</v>
      </c>
      <c r="F22" s="10" t="n">
        <v>2</v>
      </c>
      <c r="G22" s="10" t="s">
        <v>305</v>
      </c>
      <c r="H22" s="10" t="s">
        <v>298</v>
      </c>
    </row>
    <row r="23" customFormat="false" ht="15" hidden="false" customHeight="false" outlineLevel="0" collapsed="false">
      <c r="A23" s="15" t="n">
        <v>45679</v>
      </c>
      <c r="B23" s="11" t="n">
        <v>2025</v>
      </c>
      <c r="C23" s="11" t="n">
        <v>1</v>
      </c>
      <c r="D23" s="11" t="s">
        <v>295</v>
      </c>
      <c r="E23" s="11" t="s">
        <v>296</v>
      </c>
      <c r="F23" s="11" t="n">
        <v>3</v>
      </c>
      <c r="G23" s="11" t="s">
        <v>297</v>
      </c>
      <c r="H23" s="11" t="s">
        <v>298</v>
      </c>
    </row>
    <row r="24" customFormat="false" ht="15" hidden="false" customHeight="false" outlineLevel="0" collapsed="false">
      <c r="A24" s="14" t="n">
        <v>45680</v>
      </c>
      <c r="B24" s="10" t="n">
        <v>2025</v>
      </c>
      <c r="C24" s="10" t="n">
        <v>1</v>
      </c>
      <c r="D24" s="10" t="s">
        <v>295</v>
      </c>
      <c r="E24" s="10" t="s">
        <v>296</v>
      </c>
      <c r="F24" s="10" t="n">
        <v>4</v>
      </c>
      <c r="G24" s="10" t="s">
        <v>299</v>
      </c>
      <c r="H24" s="10" t="s">
        <v>298</v>
      </c>
    </row>
    <row r="25" customFormat="false" ht="15" hidden="false" customHeight="false" outlineLevel="0" collapsed="false">
      <c r="A25" s="15" t="n">
        <v>45681</v>
      </c>
      <c r="B25" s="11" t="n">
        <v>2025</v>
      </c>
      <c r="C25" s="11" t="n">
        <v>1</v>
      </c>
      <c r="D25" s="11" t="s">
        <v>295</v>
      </c>
      <c r="E25" s="11" t="s">
        <v>296</v>
      </c>
      <c r="F25" s="11" t="n">
        <v>5</v>
      </c>
      <c r="G25" s="11" t="s">
        <v>300</v>
      </c>
      <c r="H25" s="11" t="s">
        <v>298</v>
      </c>
    </row>
    <row r="26" customFormat="false" ht="15" hidden="false" customHeight="false" outlineLevel="0" collapsed="false">
      <c r="A26" s="14" t="n">
        <v>45682</v>
      </c>
      <c r="B26" s="10" t="n">
        <v>2025</v>
      </c>
      <c r="C26" s="10" t="n">
        <v>1</v>
      </c>
      <c r="D26" s="10" t="s">
        <v>295</v>
      </c>
      <c r="E26" s="10" t="s">
        <v>296</v>
      </c>
      <c r="F26" s="10" t="n">
        <v>6</v>
      </c>
      <c r="G26" s="10" t="s">
        <v>301</v>
      </c>
      <c r="H26" s="10" t="s">
        <v>302</v>
      </c>
    </row>
    <row r="27" customFormat="false" ht="15" hidden="false" customHeight="false" outlineLevel="0" collapsed="false">
      <c r="A27" s="15" t="n">
        <v>45683</v>
      </c>
      <c r="B27" s="11" t="n">
        <v>2025</v>
      </c>
      <c r="C27" s="11" t="n">
        <v>1</v>
      </c>
      <c r="D27" s="11" t="s">
        <v>295</v>
      </c>
      <c r="E27" s="11" t="s">
        <v>296</v>
      </c>
      <c r="F27" s="11" t="n">
        <v>7</v>
      </c>
      <c r="G27" s="11" t="s">
        <v>303</v>
      </c>
      <c r="H27" s="11" t="s">
        <v>302</v>
      </c>
    </row>
    <row r="28" customFormat="false" ht="15" hidden="false" customHeight="false" outlineLevel="0" collapsed="false">
      <c r="A28" s="14" t="n">
        <v>45684</v>
      </c>
      <c r="B28" s="10" t="n">
        <v>2025</v>
      </c>
      <c r="C28" s="10" t="n">
        <v>1</v>
      </c>
      <c r="D28" s="10" t="s">
        <v>295</v>
      </c>
      <c r="E28" s="10" t="s">
        <v>296</v>
      </c>
      <c r="F28" s="10" t="n">
        <v>1</v>
      </c>
      <c r="G28" s="10" t="s">
        <v>304</v>
      </c>
      <c r="H28" s="10" t="s">
        <v>298</v>
      </c>
    </row>
    <row r="29" customFormat="false" ht="15" hidden="false" customHeight="false" outlineLevel="0" collapsed="false">
      <c r="A29" s="15" t="n">
        <v>45685</v>
      </c>
      <c r="B29" s="11" t="n">
        <v>2025</v>
      </c>
      <c r="C29" s="11" t="n">
        <v>1</v>
      </c>
      <c r="D29" s="11" t="s">
        <v>295</v>
      </c>
      <c r="E29" s="11" t="s">
        <v>296</v>
      </c>
      <c r="F29" s="11" t="n">
        <v>2</v>
      </c>
      <c r="G29" s="11" t="s">
        <v>305</v>
      </c>
      <c r="H29" s="11" t="s">
        <v>298</v>
      </c>
    </row>
    <row r="30" customFormat="false" ht="15" hidden="false" customHeight="false" outlineLevel="0" collapsed="false">
      <c r="A30" s="14" t="n">
        <v>45686</v>
      </c>
      <c r="B30" s="10" t="n">
        <v>2025</v>
      </c>
      <c r="C30" s="10" t="n">
        <v>1</v>
      </c>
      <c r="D30" s="10" t="s">
        <v>295</v>
      </c>
      <c r="E30" s="10" t="s">
        <v>296</v>
      </c>
      <c r="F30" s="10" t="n">
        <v>3</v>
      </c>
      <c r="G30" s="10" t="s">
        <v>297</v>
      </c>
      <c r="H30" s="10" t="s">
        <v>298</v>
      </c>
    </row>
    <row r="31" customFormat="false" ht="15" hidden="false" customHeight="false" outlineLevel="0" collapsed="false">
      <c r="A31" s="15" t="n">
        <v>45687</v>
      </c>
      <c r="B31" s="11" t="n">
        <v>2025</v>
      </c>
      <c r="C31" s="11" t="n">
        <v>1</v>
      </c>
      <c r="D31" s="11" t="s">
        <v>295</v>
      </c>
      <c r="E31" s="11" t="s">
        <v>296</v>
      </c>
      <c r="F31" s="11" t="n">
        <v>4</v>
      </c>
      <c r="G31" s="11" t="s">
        <v>299</v>
      </c>
      <c r="H31" s="11" t="s">
        <v>298</v>
      </c>
    </row>
    <row r="32" customFormat="false" ht="15" hidden="false" customHeight="false" outlineLevel="0" collapsed="false">
      <c r="A32" s="14" t="n">
        <v>45688</v>
      </c>
      <c r="B32" s="10" t="n">
        <v>2025</v>
      </c>
      <c r="C32" s="10" t="n">
        <v>1</v>
      </c>
      <c r="D32" s="10" t="s">
        <v>295</v>
      </c>
      <c r="E32" s="10" t="s">
        <v>296</v>
      </c>
      <c r="F32" s="10" t="n">
        <v>5</v>
      </c>
      <c r="G32" s="10" t="s">
        <v>300</v>
      </c>
      <c r="H32" s="10" t="s">
        <v>298</v>
      </c>
    </row>
    <row r="33" customFormat="false" ht="15" hidden="false" customHeight="false" outlineLevel="0" collapsed="false">
      <c r="A33" s="15" t="n">
        <v>45689</v>
      </c>
      <c r="B33" s="11" t="n">
        <v>2025</v>
      </c>
      <c r="C33" s="11" t="n">
        <v>2</v>
      </c>
      <c r="D33" s="11" t="s">
        <v>306</v>
      </c>
      <c r="E33" s="11" t="s">
        <v>296</v>
      </c>
      <c r="F33" s="11" t="n">
        <v>6</v>
      </c>
      <c r="G33" s="11" t="s">
        <v>301</v>
      </c>
      <c r="H33" s="11" t="s">
        <v>302</v>
      </c>
    </row>
    <row r="34" customFormat="false" ht="15" hidden="false" customHeight="false" outlineLevel="0" collapsed="false">
      <c r="A34" s="14" t="n">
        <v>45690</v>
      </c>
      <c r="B34" s="10" t="n">
        <v>2025</v>
      </c>
      <c r="C34" s="10" t="n">
        <v>2</v>
      </c>
      <c r="D34" s="10" t="s">
        <v>306</v>
      </c>
      <c r="E34" s="10" t="s">
        <v>296</v>
      </c>
      <c r="F34" s="10" t="n">
        <v>7</v>
      </c>
      <c r="G34" s="10" t="s">
        <v>303</v>
      </c>
      <c r="H34" s="10" t="s">
        <v>302</v>
      </c>
    </row>
    <row r="35" customFormat="false" ht="15" hidden="false" customHeight="false" outlineLevel="0" collapsed="false">
      <c r="A35" s="15" t="n">
        <v>45691</v>
      </c>
      <c r="B35" s="11" t="n">
        <v>2025</v>
      </c>
      <c r="C35" s="11" t="n">
        <v>2</v>
      </c>
      <c r="D35" s="11" t="s">
        <v>306</v>
      </c>
      <c r="E35" s="11" t="s">
        <v>296</v>
      </c>
      <c r="F35" s="11" t="n">
        <v>1</v>
      </c>
      <c r="G35" s="11" t="s">
        <v>304</v>
      </c>
      <c r="H35" s="11" t="s">
        <v>298</v>
      </c>
    </row>
    <row r="36" customFormat="false" ht="15" hidden="false" customHeight="false" outlineLevel="0" collapsed="false">
      <c r="A36" s="14" t="n">
        <v>45692</v>
      </c>
      <c r="B36" s="10" t="n">
        <v>2025</v>
      </c>
      <c r="C36" s="10" t="n">
        <v>2</v>
      </c>
      <c r="D36" s="10" t="s">
        <v>306</v>
      </c>
      <c r="E36" s="10" t="s">
        <v>296</v>
      </c>
      <c r="F36" s="10" t="n">
        <v>2</v>
      </c>
      <c r="G36" s="10" t="s">
        <v>305</v>
      </c>
      <c r="H36" s="10" t="s">
        <v>298</v>
      </c>
    </row>
    <row r="37" customFormat="false" ht="15" hidden="false" customHeight="false" outlineLevel="0" collapsed="false">
      <c r="A37" s="15" t="n">
        <v>45693</v>
      </c>
      <c r="B37" s="11" t="n">
        <v>2025</v>
      </c>
      <c r="C37" s="11" t="n">
        <v>2</v>
      </c>
      <c r="D37" s="11" t="s">
        <v>306</v>
      </c>
      <c r="E37" s="11" t="s">
        <v>296</v>
      </c>
      <c r="F37" s="11" t="n">
        <v>3</v>
      </c>
      <c r="G37" s="11" t="s">
        <v>297</v>
      </c>
      <c r="H37" s="11" t="s">
        <v>298</v>
      </c>
    </row>
    <row r="38" customFormat="false" ht="15" hidden="false" customHeight="false" outlineLevel="0" collapsed="false">
      <c r="A38" s="14" t="n">
        <v>45694</v>
      </c>
      <c r="B38" s="10" t="n">
        <v>2025</v>
      </c>
      <c r="C38" s="10" t="n">
        <v>2</v>
      </c>
      <c r="D38" s="10" t="s">
        <v>306</v>
      </c>
      <c r="E38" s="10" t="s">
        <v>296</v>
      </c>
      <c r="F38" s="10" t="n">
        <v>4</v>
      </c>
      <c r="G38" s="10" t="s">
        <v>299</v>
      </c>
      <c r="H38" s="10" t="s">
        <v>298</v>
      </c>
    </row>
    <row r="39" customFormat="false" ht="15" hidden="false" customHeight="false" outlineLevel="0" collapsed="false">
      <c r="A39" s="15" t="n">
        <v>45695</v>
      </c>
      <c r="B39" s="11" t="n">
        <v>2025</v>
      </c>
      <c r="C39" s="11" t="n">
        <v>2</v>
      </c>
      <c r="D39" s="11" t="s">
        <v>306</v>
      </c>
      <c r="E39" s="11" t="s">
        <v>296</v>
      </c>
      <c r="F39" s="11" t="n">
        <v>5</v>
      </c>
      <c r="G39" s="11" t="s">
        <v>300</v>
      </c>
      <c r="H39" s="11" t="s">
        <v>298</v>
      </c>
    </row>
    <row r="40" customFormat="false" ht="15" hidden="false" customHeight="false" outlineLevel="0" collapsed="false">
      <c r="A40" s="14" t="n">
        <v>45696</v>
      </c>
      <c r="B40" s="10" t="n">
        <v>2025</v>
      </c>
      <c r="C40" s="10" t="n">
        <v>2</v>
      </c>
      <c r="D40" s="10" t="s">
        <v>306</v>
      </c>
      <c r="E40" s="10" t="s">
        <v>296</v>
      </c>
      <c r="F40" s="10" t="n">
        <v>6</v>
      </c>
      <c r="G40" s="10" t="s">
        <v>301</v>
      </c>
      <c r="H40" s="10" t="s">
        <v>302</v>
      </c>
    </row>
    <row r="41" customFormat="false" ht="15" hidden="false" customHeight="false" outlineLevel="0" collapsed="false">
      <c r="A41" s="15" t="n">
        <v>45697</v>
      </c>
      <c r="B41" s="11" t="n">
        <v>2025</v>
      </c>
      <c r="C41" s="11" t="n">
        <v>2</v>
      </c>
      <c r="D41" s="11" t="s">
        <v>306</v>
      </c>
      <c r="E41" s="11" t="s">
        <v>296</v>
      </c>
      <c r="F41" s="11" t="n">
        <v>7</v>
      </c>
      <c r="G41" s="11" t="s">
        <v>303</v>
      </c>
      <c r="H41" s="11" t="s">
        <v>302</v>
      </c>
    </row>
    <row r="42" customFormat="false" ht="15" hidden="false" customHeight="false" outlineLevel="0" collapsed="false">
      <c r="A42" s="14" t="n">
        <v>45698</v>
      </c>
      <c r="B42" s="10" t="n">
        <v>2025</v>
      </c>
      <c r="C42" s="10" t="n">
        <v>2</v>
      </c>
      <c r="D42" s="10" t="s">
        <v>306</v>
      </c>
      <c r="E42" s="10" t="s">
        <v>296</v>
      </c>
      <c r="F42" s="10" t="n">
        <v>1</v>
      </c>
      <c r="G42" s="10" t="s">
        <v>304</v>
      </c>
      <c r="H42" s="10" t="s">
        <v>298</v>
      </c>
    </row>
    <row r="43" customFormat="false" ht="15" hidden="false" customHeight="false" outlineLevel="0" collapsed="false">
      <c r="A43" s="15" t="n">
        <v>45699</v>
      </c>
      <c r="B43" s="11" t="n">
        <v>2025</v>
      </c>
      <c r="C43" s="11" t="n">
        <v>2</v>
      </c>
      <c r="D43" s="11" t="s">
        <v>306</v>
      </c>
      <c r="E43" s="11" t="s">
        <v>296</v>
      </c>
      <c r="F43" s="11" t="n">
        <v>2</v>
      </c>
      <c r="G43" s="11" t="s">
        <v>305</v>
      </c>
      <c r="H43" s="11" t="s">
        <v>298</v>
      </c>
    </row>
    <row r="44" customFormat="false" ht="15" hidden="false" customHeight="false" outlineLevel="0" collapsed="false">
      <c r="A44" s="14" t="n">
        <v>45700</v>
      </c>
      <c r="B44" s="10" t="n">
        <v>2025</v>
      </c>
      <c r="C44" s="10" t="n">
        <v>2</v>
      </c>
      <c r="D44" s="10" t="s">
        <v>306</v>
      </c>
      <c r="E44" s="10" t="s">
        <v>296</v>
      </c>
      <c r="F44" s="10" t="n">
        <v>3</v>
      </c>
      <c r="G44" s="10" t="s">
        <v>297</v>
      </c>
      <c r="H44" s="10" t="s">
        <v>298</v>
      </c>
    </row>
    <row r="45" customFormat="false" ht="15" hidden="false" customHeight="false" outlineLevel="0" collapsed="false">
      <c r="A45" s="15" t="n">
        <v>45701</v>
      </c>
      <c r="B45" s="11" t="n">
        <v>2025</v>
      </c>
      <c r="C45" s="11" t="n">
        <v>2</v>
      </c>
      <c r="D45" s="11" t="s">
        <v>306</v>
      </c>
      <c r="E45" s="11" t="s">
        <v>296</v>
      </c>
      <c r="F45" s="11" t="n">
        <v>4</v>
      </c>
      <c r="G45" s="11" t="s">
        <v>299</v>
      </c>
      <c r="H45" s="11" t="s">
        <v>298</v>
      </c>
    </row>
    <row r="46" customFormat="false" ht="15" hidden="false" customHeight="false" outlineLevel="0" collapsed="false">
      <c r="A46" s="14" t="n">
        <v>45702</v>
      </c>
      <c r="B46" s="10" t="n">
        <v>2025</v>
      </c>
      <c r="C46" s="10" t="n">
        <v>2</v>
      </c>
      <c r="D46" s="10" t="s">
        <v>306</v>
      </c>
      <c r="E46" s="10" t="s">
        <v>296</v>
      </c>
      <c r="F46" s="10" t="n">
        <v>5</v>
      </c>
      <c r="G46" s="10" t="s">
        <v>300</v>
      </c>
      <c r="H46" s="10" t="s">
        <v>298</v>
      </c>
    </row>
    <row r="47" customFormat="false" ht="15" hidden="false" customHeight="false" outlineLevel="0" collapsed="false">
      <c r="A47" s="15" t="n">
        <v>45703</v>
      </c>
      <c r="B47" s="11" t="n">
        <v>2025</v>
      </c>
      <c r="C47" s="11" t="n">
        <v>2</v>
      </c>
      <c r="D47" s="11" t="s">
        <v>306</v>
      </c>
      <c r="E47" s="11" t="s">
        <v>296</v>
      </c>
      <c r="F47" s="11" t="n">
        <v>6</v>
      </c>
      <c r="G47" s="11" t="s">
        <v>301</v>
      </c>
      <c r="H47" s="11" t="s">
        <v>302</v>
      </c>
    </row>
    <row r="48" customFormat="false" ht="15" hidden="false" customHeight="false" outlineLevel="0" collapsed="false">
      <c r="A48" s="14" t="n">
        <v>45704</v>
      </c>
      <c r="B48" s="10" t="n">
        <v>2025</v>
      </c>
      <c r="C48" s="10" t="n">
        <v>2</v>
      </c>
      <c r="D48" s="10" t="s">
        <v>306</v>
      </c>
      <c r="E48" s="10" t="s">
        <v>296</v>
      </c>
      <c r="F48" s="10" t="n">
        <v>7</v>
      </c>
      <c r="G48" s="10" t="s">
        <v>303</v>
      </c>
      <c r="H48" s="10" t="s">
        <v>302</v>
      </c>
    </row>
    <row r="49" customFormat="false" ht="15" hidden="false" customHeight="false" outlineLevel="0" collapsed="false">
      <c r="A49" s="15" t="n">
        <v>45705</v>
      </c>
      <c r="B49" s="11" t="n">
        <v>2025</v>
      </c>
      <c r="C49" s="11" t="n">
        <v>2</v>
      </c>
      <c r="D49" s="11" t="s">
        <v>306</v>
      </c>
      <c r="E49" s="11" t="s">
        <v>296</v>
      </c>
      <c r="F49" s="11" t="n">
        <v>1</v>
      </c>
      <c r="G49" s="11" t="s">
        <v>304</v>
      </c>
      <c r="H49" s="11" t="s">
        <v>298</v>
      </c>
    </row>
    <row r="50" customFormat="false" ht="15" hidden="false" customHeight="false" outlineLevel="0" collapsed="false">
      <c r="A50" s="14" t="n">
        <v>45706</v>
      </c>
      <c r="B50" s="10" t="n">
        <v>2025</v>
      </c>
      <c r="C50" s="10" t="n">
        <v>2</v>
      </c>
      <c r="D50" s="10" t="s">
        <v>306</v>
      </c>
      <c r="E50" s="10" t="s">
        <v>296</v>
      </c>
      <c r="F50" s="10" t="n">
        <v>2</v>
      </c>
      <c r="G50" s="10" t="s">
        <v>305</v>
      </c>
      <c r="H50" s="10" t="s">
        <v>298</v>
      </c>
    </row>
    <row r="51" customFormat="false" ht="15" hidden="false" customHeight="false" outlineLevel="0" collapsed="false">
      <c r="A51" s="15" t="n">
        <v>45707</v>
      </c>
      <c r="B51" s="11" t="n">
        <v>2025</v>
      </c>
      <c r="C51" s="11" t="n">
        <v>2</v>
      </c>
      <c r="D51" s="11" t="s">
        <v>306</v>
      </c>
      <c r="E51" s="11" t="s">
        <v>296</v>
      </c>
      <c r="F51" s="11" t="n">
        <v>3</v>
      </c>
      <c r="G51" s="11" t="s">
        <v>297</v>
      </c>
      <c r="H51" s="11" t="s">
        <v>298</v>
      </c>
    </row>
    <row r="52" customFormat="false" ht="15" hidden="false" customHeight="false" outlineLevel="0" collapsed="false">
      <c r="A52" s="14" t="n">
        <v>45708</v>
      </c>
      <c r="B52" s="10" t="n">
        <v>2025</v>
      </c>
      <c r="C52" s="10" t="n">
        <v>2</v>
      </c>
      <c r="D52" s="10" t="s">
        <v>306</v>
      </c>
      <c r="E52" s="10" t="s">
        <v>296</v>
      </c>
      <c r="F52" s="10" t="n">
        <v>4</v>
      </c>
      <c r="G52" s="10" t="s">
        <v>299</v>
      </c>
      <c r="H52" s="10" t="s">
        <v>298</v>
      </c>
    </row>
    <row r="53" customFormat="false" ht="15" hidden="false" customHeight="false" outlineLevel="0" collapsed="false">
      <c r="A53" s="15" t="n">
        <v>45709</v>
      </c>
      <c r="B53" s="11" t="n">
        <v>2025</v>
      </c>
      <c r="C53" s="11" t="n">
        <v>2</v>
      </c>
      <c r="D53" s="11" t="s">
        <v>306</v>
      </c>
      <c r="E53" s="11" t="s">
        <v>296</v>
      </c>
      <c r="F53" s="11" t="n">
        <v>5</v>
      </c>
      <c r="G53" s="11" t="s">
        <v>300</v>
      </c>
      <c r="H53" s="11" t="s">
        <v>298</v>
      </c>
    </row>
    <row r="54" customFormat="false" ht="15" hidden="false" customHeight="false" outlineLevel="0" collapsed="false">
      <c r="A54" s="14" t="n">
        <v>45710</v>
      </c>
      <c r="B54" s="10" t="n">
        <v>2025</v>
      </c>
      <c r="C54" s="10" t="n">
        <v>2</v>
      </c>
      <c r="D54" s="10" t="s">
        <v>306</v>
      </c>
      <c r="E54" s="10" t="s">
        <v>296</v>
      </c>
      <c r="F54" s="10" t="n">
        <v>6</v>
      </c>
      <c r="G54" s="10" t="s">
        <v>301</v>
      </c>
      <c r="H54" s="10" t="s">
        <v>302</v>
      </c>
    </row>
    <row r="55" customFormat="false" ht="15" hidden="false" customHeight="false" outlineLevel="0" collapsed="false">
      <c r="A55" s="15" t="n">
        <v>45711</v>
      </c>
      <c r="B55" s="11" t="n">
        <v>2025</v>
      </c>
      <c r="C55" s="11" t="n">
        <v>2</v>
      </c>
      <c r="D55" s="11" t="s">
        <v>306</v>
      </c>
      <c r="E55" s="11" t="s">
        <v>296</v>
      </c>
      <c r="F55" s="11" t="n">
        <v>7</v>
      </c>
      <c r="G55" s="11" t="s">
        <v>303</v>
      </c>
      <c r="H55" s="11" t="s">
        <v>302</v>
      </c>
    </row>
    <row r="56" customFormat="false" ht="15" hidden="false" customHeight="false" outlineLevel="0" collapsed="false">
      <c r="A56" s="14" t="n">
        <v>45712</v>
      </c>
      <c r="B56" s="10" t="n">
        <v>2025</v>
      </c>
      <c r="C56" s="10" t="n">
        <v>2</v>
      </c>
      <c r="D56" s="10" t="s">
        <v>306</v>
      </c>
      <c r="E56" s="10" t="s">
        <v>296</v>
      </c>
      <c r="F56" s="10" t="n">
        <v>1</v>
      </c>
      <c r="G56" s="10" t="s">
        <v>304</v>
      </c>
      <c r="H56" s="10" t="s">
        <v>298</v>
      </c>
    </row>
    <row r="57" customFormat="false" ht="15" hidden="false" customHeight="false" outlineLevel="0" collapsed="false">
      <c r="A57" s="15" t="n">
        <v>45713</v>
      </c>
      <c r="B57" s="11" t="n">
        <v>2025</v>
      </c>
      <c r="C57" s="11" t="n">
        <v>2</v>
      </c>
      <c r="D57" s="11" t="s">
        <v>306</v>
      </c>
      <c r="E57" s="11" t="s">
        <v>296</v>
      </c>
      <c r="F57" s="11" t="n">
        <v>2</v>
      </c>
      <c r="G57" s="11" t="s">
        <v>305</v>
      </c>
      <c r="H57" s="11" t="s">
        <v>298</v>
      </c>
    </row>
    <row r="58" customFormat="false" ht="15" hidden="false" customHeight="false" outlineLevel="0" collapsed="false">
      <c r="A58" s="14" t="n">
        <v>45714</v>
      </c>
      <c r="B58" s="10" t="n">
        <v>2025</v>
      </c>
      <c r="C58" s="10" t="n">
        <v>2</v>
      </c>
      <c r="D58" s="10" t="s">
        <v>306</v>
      </c>
      <c r="E58" s="10" t="s">
        <v>296</v>
      </c>
      <c r="F58" s="10" t="n">
        <v>3</v>
      </c>
      <c r="G58" s="10" t="s">
        <v>297</v>
      </c>
      <c r="H58" s="10" t="s">
        <v>298</v>
      </c>
    </row>
    <row r="59" customFormat="false" ht="15" hidden="false" customHeight="false" outlineLevel="0" collapsed="false">
      <c r="A59" s="15" t="n">
        <v>45715</v>
      </c>
      <c r="B59" s="11" t="n">
        <v>2025</v>
      </c>
      <c r="C59" s="11" t="n">
        <v>2</v>
      </c>
      <c r="D59" s="11" t="s">
        <v>306</v>
      </c>
      <c r="E59" s="11" t="s">
        <v>296</v>
      </c>
      <c r="F59" s="11" t="n">
        <v>4</v>
      </c>
      <c r="G59" s="11" t="s">
        <v>299</v>
      </c>
      <c r="H59" s="11" t="s">
        <v>298</v>
      </c>
    </row>
    <row r="60" customFormat="false" ht="15" hidden="false" customHeight="false" outlineLevel="0" collapsed="false">
      <c r="A60" s="14" t="n">
        <v>45716</v>
      </c>
      <c r="B60" s="10" t="n">
        <v>2025</v>
      </c>
      <c r="C60" s="10" t="n">
        <v>2</v>
      </c>
      <c r="D60" s="10" t="s">
        <v>306</v>
      </c>
      <c r="E60" s="10" t="s">
        <v>296</v>
      </c>
      <c r="F60" s="10" t="n">
        <v>5</v>
      </c>
      <c r="G60" s="10" t="s">
        <v>300</v>
      </c>
      <c r="H60" s="10" t="s">
        <v>298</v>
      </c>
    </row>
    <row r="61" customFormat="false" ht="15" hidden="false" customHeight="false" outlineLevel="0" collapsed="false">
      <c r="A61" s="15" t="n">
        <v>45717</v>
      </c>
      <c r="B61" s="11" t="n">
        <v>2025</v>
      </c>
      <c r="C61" s="11" t="n">
        <v>3</v>
      </c>
      <c r="D61" s="11" t="s">
        <v>307</v>
      </c>
      <c r="E61" s="11" t="s">
        <v>296</v>
      </c>
      <c r="F61" s="11" t="n">
        <v>6</v>
      </c>
      <c r="G61" s="11" t="s">
        <v>301</v>
      </c>
      <c r="H61" s="11" t="s">
        <v>302</v>
      </c>
    </row>
    <row r="62" customFormat="false" ht="15" hidden="false" customHeight="false" outlineLevel="0" collapsed="false">
      <c r="A62" s="14" t="n">
        <v>45718</v>
      </c>
      <c r="B62" s="10" t="n">
        <v>2025</v>
      </c>
      <c r="C62" s="10" t="n">
        <v>3</v>
      </c>
      <c r="D62" s="10" t="s">
        <v>307</v>
      </c>
      <c r="E62" s="10" t="s">
        <v>296</v>
      </c>
      <c r="F62" s="10" t="n">
        <v>7</v>
      </c>
      <c r="G62" s="10" t="s">
        <v>303</v>
      </c>
      <c r="H62" s="10" t="s">
        <v>302</v>
      </c>
    </row>
    <row r="63" customFormat="false" ht="15" hidden="false" customHeight="false" outlineLevel="0" collapsed="false">
      <c r="A63" s="15" t="n">
        <v>45719</v>
      </c>
      <c r="B63" s="11" t="n">
        <v>2025</v>
      </c>
      <c r="C63" s="11" t="n">
        <v>3</v>
      </c>
      <c r="D63" s="11" t="s">
        <v>307</v>
      </c>
      <c r="E63" s="11" t="s">
        <v>296</v>
      </c>
      <c r="F63" s="11" t="n">
        <v>1</v>
      </c>
      <c r="G63" s="11" t="s">
        <v>304</v>
      </c>
      <c r="H63" s="11" t="s">
        <v>298</v>
      </c>
    </row>
    <row r="64" customFormat="false" ht="15" hidden="false" customHeight="false" outlineLevel="0" collapsed="false">
      <c r="A64" s="14" t="n">
        <v>45720</v>
      </c>
      <c r="B64" s="10" t="n">
        <v>2025</v>
      </c>
      <c r="C64" s="10" t="n">
        <v>3</v>
      </c>
      <c r="D64" s="10" t="s">
        <v>307</v>
      </c>
      <c r="E64" s="10" t="s">
        <v>296</v>
      </c>
      <c r="F64" s="10" t="n">
        <v>2</v>
      </c>
      <c r="G64" s="10" t="s">
        <v>305</v>
      </c>
      <c r="H64" s="10" t="s">
        <v>298</v>
      </c>
    </row>
    <row r="65" customFormat="false" ht="15" hidden="false" customHeight="false" outlineLevel="0" collapsed="false">
      <c r="A65" s="15" t="n">
        <v>45721</v>
      </c>
      <c r="B65" s="11" t="n">
        <v>2025</v>
      </c>
      <c r="C65" s="11" t="n">
        <v>3</v>
      </c>
      <c r="D65" s="11" t="s">
        <v>307</v>
      </c>
      <c r="E65" s="11" t="s">
        <v>296</v>
      </c>
      <c r="F65" s="11" t="n">
        <v>3</v>
      </c>
      <c r="G65" s="11" t="s">
        <v>297</v>
      </c>
      <c r="H65" s="11" t="s">
        <v>298</v>
      </c>
    </row>
    <row r="66" customFormat="false" ht="15" hidden="false" customHeight="false" outlineLevel="0" collapsed="false">
      <c r="A66" s="14" t="n">
        <v>45722</v>
      </c>
      <c r="B66" s="10" t="n">
        <v>2025</v>
      </c>
      <c r="C66" s="10" t="n">
        <v>3</v>
      </c>
      <c r="D66" s="10" t="s">
        <v>307</v>
      </c>
      <c r="E66" s="10" t="s">
        <v>296</v>
      </c>
      <c r="F66" s="10" t="n">
        <v>4</v>
      </c>
      <c r="G66" s="10" t="s">
        <v>299</v>
      </c>
      <c r="H66" s="10" t="s">
        <v>298</v>
      </c>
    </row>
    <row r="67" customFormat="false" ht="15" hidden="false" customHeight="false" outlineLevel="0" collapsed="false">
      <c r="A67" s="15" t="n">
        <v>45723</v>
      </c>
      <c r="B67" s="11" t="n">
        <v>2025</v>
      </c>
      <c r="C67" s="11" t="n">
        <v>3</v>
      </c>
      <c r="D67" s="11" t="s">
        <v>307</v>
      </c>
      <c r="E67" s="11" t="s">
        <v>296</v>
      </c>
      <c r="F67" s="11" t="n">
        <v>5</v>
      </c>
      <c r="G67" s="11" t="s">
        <v>300</v>
      </c>
      <c r="H67" s="11" t="s">
        <v>298</v>
      </c>
    </row>
    <row r="68" customFormat="false" ht="15" hidden="false" customHeight="false" outlineLevel="0" collapsed="false">
      <c r="A68" s="14" t="n">
        <v>45724</v>
      </c>
      <c r="B68" s="10" t="n">
        <v>2025</v>
      </c>
      <c r="C68" s="10" t="n">
        <v>3</v>
      </c>
      <c r="D68" s="10" t="s">
        <v>307</v>
      </c>
      <c r="E68" s="10" t="s">
        <v>296</v>
      </c>
      <c r="F68" s="10" t="n">
        <v>6</v>
      </c>
      <c r="G68" s="10" t="s">
        <v>301</v>
      </c>
      <c r="H68" s="10" t="s">
        <v>302</v>
      </c>
    </row>
    <row r="69" customFormat="false" ht="15" hidden="false" customHeight="false" outlineLevel="0" collapsed="false">
      <c r="A69" s="15" t="n">
        <v>45725</v>
      </c>
      <c r="B69" s="11" t="n">
        <v>2025</v>
      </c>
      <c r="C69" s="11" t="n">
        <v>3</v>
      </c>
      <c r="D69" s="11" t="s">
        <v>307</v>
      </c>
      <c r="E69" s="11" t="s">
        <v>296</v>
      </c>
      <c r="F69" s="11" t="n">
        <v>7</v>
      </c>
      <c r="G69" s="11" t="s">
        <v>303</v>
      </c>
      <c r="H69" s="11" t="s">
        <v>302</v>
      </c>
    </row>
    <row r="70" customFormat="false" ht="15" hidden="false" customHeight="false" outlineLevel="0" collapsed="false">
      <c r="A70" s="14" t="n">
        <v>45726</v>
      </c>
      <c r="B70" s="10" t="n">
        <v>2025</v>
      </c>
      <c r="C70" s="10" t="n">
        <v>3</v>
      </c>
      <c r="D70" s="10" t="s">
        <v>307</v>
      </c>
      <c r="E70" s="10" t="s">
        <v>296</v>
      </c>
      <c r="F70" s="10" t="n">
        <v>1</v>
      </c>
      <c r="G70" s="10" t="s">
        <v>304</v>
      </c>
      <c r="H70" s="10" t="s">
        <v>298</v>
      </c>
    </row>
    <row r="71" customFormat="false" ht="15" hidden="false" customHeight="false" outlineLevel="0" collapsed="false">
      <c r="A71" s="15" t="n">
        <v>45727</v>
      </c>
      <c r="B71" s="11" t="n">
        <v>2025</v>
      </c>
      <c r="C71" s="11" t="n">
        <v>3</v>
      </c>
      <c r="D71" s="11" t="s">
        <v>307</v>
      </c>
      <c r="E71" s="11" t="s">
        <v>296</v>
      </c>
      <c r="F71" s="11" t="n">
        <v>2</v>
      </c>
      <c r="G71" s="11" t="s">
        <v>305</v>
      </c>
      <c r="H71" s="11" t="s">
        <v>298</v>
      </c>
    </row>
    <row r="72" customFormat="false" ht="15" hidden="false" customHeight="false" outlineLevel="0" collapsed="false">
      <c r="A72" s="14" t="n">
        <v>45728</v>
      </c>
      <c r="B72" s="10" t="n">
        <v>2025</v>
      </c>
      <c r="C72" s="10" t="n">
        <v>3</v>
      </c>
      <c r="D72" s="10" t="s">
        <v>307</v>
      </c>
      <c r="E72" s="10" t="s">
        <v>296</v>
      </c>
      <c r="F72" s="10" t="n">
        <v>3</v>
      </c>
      <c r="G72" s="10" t="s">
        <v>297</v>
      </c>
      <c r="H72" s="10" t="s">
        <v>298</v>
      </c>
    </row>
    <row r="73" customFormat="false" ht="15" hidden="false" customHeight="false" outlineLevel="0" collapsed="false">
      <c r="A73" s="15" t="n">
        <v>45729</v>
      </c>
      <c r="B73" s="11" t="n">
        <v>2025</v>
      </c>
      <c r="C73" s="11" t="n">
        <v>3</v>
      </c>
      <c r="D73" s="11" t="s">
        <v>307</v>
      </c>
      <c r="E73" s="11" t="s">
        <v>296</v>
      </c>
      <c r="F73" s="11" t="n">
        <v>4</v>
      </c>
      <c r="G73" s="11" t="s">
        <v>299</v>
      </c>
      <c r="H73" s="11" t="s">
        <v>298</v>
      </c>
    </row>
    <row r="74" customFormat="false" ht="15" hidden="false" customHeight="false" outlineLevel="0" collapsed="false">
      <c r="A74" s="14" t="n">
        <v>45730</v>
      </c>
      <c r="B74" s="10" t="n">
        <v>2025</v>
      </c>
      <c r="C74" s="10" t="n">
        <v>3</v>
      </c>
      <c r="D74" s="10" t="s">
        <v>307</v>
      </c>
      <c r="E74" s="10" t="s">
        <v>296</v>
      </c>
      <c r="F74" s="10" t="n">
        <v>5</v>
      </c>
      <c r="G74" s="10" t="s">
        <v>300</v>
      </c>
      <c r="H74" s="10" t="s">
        <v>298</v>
      </c>
    </row>
    <row r="75" customFormat="false" ht="15" hidden="false" customHeight="false" outlineLevel="0" collapsed="false">
      <c r="A75" s="15" t="n">
        <v>45731</v>
      </c>
      <c r="B75" s="11" t="n">
        <v>2025</v>
      </c>
      <c r="C75" s="11" t="n">
        <v>3</v>
      </c>
      <c r="D75" s="11" t="s">
        <v>307</v>
      </c>
      <c r="E75" s="11" t="s">
        <v>296</v>
      </c>
      <c r="F75" s="11" t="n">
        <v>6</v>
      </c>
      <c r="G75" s="11" t="s">
        <v>301</v>
      </c>
      <c r="H75" s="11" t="s">
        <v>302</v>
      </c>
    </row>
    <row r="76" customFormat="false" ht="15" hidden="false" customHeight="false" outlineLevel="0" collapsed="false">
      <c r="A76" s="14" t="n">
        <v>45732</v>
      </c>
      <c r="B76" s="10" t="n">
        <v>2025</v>
      </c>
      <c r="C76" s="10" t="n">
        <v>3</v>
      </c>
      <c r="D76" s="10" t="s">
        <v>307</v>
      </c>
      <c r="E76" s="10" t="s">
        <v>296</v>
      </c>
      <c r="F76" s="10" t="n">
        <v>7</v>
      </c>
      <c r="G76" s="10" t="s">
        <v>303</v>
      </c>
      <c r="H76" s="10" t="s">
        <v>302</v>
      </c>
    </row>
    <row r="77" customFormat="false" ht="15" hidden="false" customHeight="false" outlineLevel="0" collapsed="false">
      <c r="A77" s="15" t="n">
        <v>45733</v>
      </c>
      <c r="B77" s="11" t="n">
        <v>2025</v>
      </c>
      <c r="C77" s="11" t="n">
        <v>3</v>
      </c>
      <c r="D77" s="11" t="s">
        <v>307</v>
      </c>
      <c r="E77" s="11" t="s">
        <v>296</v>
      </c>
      <c r="F77" s="11" t="n">
        <v>1</v>
      </c>
      <c r="G77" s="11" t="s">
        <v>304</v>
      </c>
      <c r="H77" s="11" t="s">
        <v>298</v>
      </c>
    </row>
    <row r="78" customFormat="false" ht="15" hidden="false" customHeight="false" outlineLevel="0" collapsed="false">
      <c r="A78" s="14" t="n">
        <v>45734</v>
      </c>
      <c r="B78" s="10" t="n">
        <v>2025</v>
      </c>
      <c r="C78" s="10" t="n">
        <v>3</v>
      </c>
      <c r="D78" s="10" t="s">
        <v>307</v>
      </c>
      <c r="E78" s="10" t="s">
        <v>296</v>
      </c>
      <c r="F78" s="10" t="n">
        <v>2</v>
      </c>
      <c r="G78" s="10" t="s">
        <v>305</v>
      </c>
      <c r="H78" s="10" t="s">
        <v>298</v>
      </c>
    </row>
    <row r="79" customFormat="false" ht="15" hidden="false" customHeight="false" outlineLevel="0" collapsed="false">
      <c r="A79" s="15" t="n">
        <v>45735</v>
      </c>
      <c r="B79" s="11" t="n">
        <v>2025</v>
      </c>
      <c r="C79" s="11" t="n">
        <v>3</v>
      </c>
      <c r="D79" s="11" t="s">
        <v>307</v>
      </c>
      <c r="E79" s="11" t="s">
        <v>296</v>
      </c>
      <c r="F79" s="11" t="n">
        <v>3</v>
      </c>
      <c r="G79" s="11" t="s">
        <v>297</v>
      </c>
      <c r="H79" s="11" t="s">
        <v>298</v>
      </c>
    </row>
    <row r="80" customFormat="false" ht="15" hidden="false" customHeight="false" outlineLevel="0" collapsed="false">
      <c r="A80" s="14" t="n">
        <v>45736</v>
      </c>
      <c r="B80" s="10" t="n">
        <v>2025</v>
      </c>
      <c r="C80" s="10" t="n">
        <v>3</v>
      </c>
      <c r="D80" s="10" t="s">
        <v>307</v>
      </c>
      <c r="E80" s="10" t="s">
        <v>296</v>
      </c>
      <c r="F80" s="10" t="n">
        <v>4</v>
      </c>
      <c r="G80" s="10" t="s">
        <v>299</v>
      </c>
      <c r="H80" s="10" t="s">
        <v>298</v>
      </c>
    </row>
    <row r="81" customFormat="false" ht="15" hidden="false" customHeight="false" outlineLevel="0" collapsed="false">
      <c r="A81" s="15" t="n">
        <v>45737</v>
      </c>
      <c r="B81" s="11" t="n">
        <v>2025</v>
      </c>
      <c r="C81" s="11" t="n">
        <v>3</v>
      </c>
      <c r="D81" s="11" t="s">
        <v>307</v>
      </c>
      <c r="E81" s="11" t="s">
        <v>296</v>
      </c>
      <c r="F81" s="11" t="n">
        <v>5</v>
      </c>
      <c r="G81" s="11" t="s">
        <v>300</v>
      </c>
      <c r="H81" s="11" t="s">
        <v>298</v>
      </c>
    </row>
    <row r="82" customFormat="false" ht="15" hidden="false" customHeight="false" outlineLevel="0" collapsed="false">
      <c r="A82" s="14" t="n">
        <v>45738</v>
      </c>
      <c r="B82" s="10" t="n">
        <v>2025</v>
      </c>
      <c r="C82" s="10" t="n">
        <v>3</v>
      </c>
      <c r="D82" s="10" t="s">
        <v>307</v>
      </c>
      <c r="E82" s="10" t="s">
        <v>296</v>
      </c>
      <c r="F82" s="10" t="n">
        <v>6</v>
      </c>
      <c r="G82" s="10" t="s">
        <v>301</v>
      </c>
      <c r="H82" s="10" t="s">
        <v>302</v>
      </c>
    </row>
    <row r="83" customFormat="false" ht="15" hidden="false" customHeight="false" outlineLevel="0" collapsed="false">
      <c r="A83" s="15" t="n">
        <v>45739</v>
      </c>
      <c r="B83" s="11" t="n">
        <v>2025</v>
      </c>
      <c r="C83" s="11" t="n">
        <v>3</v>
      </c>
      <c r="D83" s="11" t="s">
        <v>307</v>
      </c>
      <c r="E83" s="11" t="s">
        <v>296</v>
      </c>
      <c r="F83" s="11" t="n">
        <v>7</v>
      </c>
      <c r="G83" s="11" t="s">
        <v>303</v>
      </c>
      <c r="H83" s="11" t="s">
        <v>302</v>
      </c>
    </row>
    <row r="84" customFormat="false" ht="15" hidden="false" customHeight="false" outlineLevel="0" collapsed="false">
      <c r="A84" s="14" t="n">
        <v>45740</v>
      </c>
      <c r="B84" s="10" t="n">
        <v>2025</v>
      </c>
      <c r="C84" s="10" t="n">
        <v>3</v>
      </c>
      <c r="D84" s="10" t="s">
        <v>307</v>
      </c>
      <c r="E84" s="10" t="s">
        <v>296</v>
      </c>
      <c r="F84" s="10" t="n">
        <v>1</v>
      </c>
      <c r="G84" s="10" t="s">
        <v>304</v>
      </c>
      <c r="H84" s="10" t="s">
        <v>298</v>
      </c>
    </row>
    <row r="85" customFormat="false" ht="15" hidden="false" customHeight="false" outlineLevel="0" collapsed="false">
      <c r="A85" s="15" t="n">
        <v>45741</v>
      </c>
      <c r="B85" s="11" t="n">
        <v>2025</v>
      </c>
      <c r="C85" s="11" t="n">
        <v>3</v>
      </c>
      <c r="D85" s="11" t="s">
        <v>307</v>
      </c>
      <c r="E85" s="11" t="s">
        <v>296</v>
      </c>
      <c r="F85" s="11" t="n">
        <v>2</v>
      </c>
      <c r="G85" s="11" t="s">
        <v>305</v>
      </c>
      <c r="H85" s="11" t="s">
        <v>298</v>
      </c>
    </row>
    <row r="86" customFormat="false" ht="15" hidden="false" customHeight="false" outlineLevel="0" collapsed="false">
      <c r="A86" s="14" t="n">
        <v>45742</v>
      </c>
      <c r="B86" s="10" t="n">
        <v>2025</v>
      </c>
      <c r="C86" s="10" t="n">
        <v>3</v>
      </c>
      <c r="D86" s="10" t="s">
        <v>307</v>
      </c>
      <c r="E86" s="10" t="s">
        <v>296</v>
      </c>
      <c r="F86" s="10" t="n">
        <v>3</v>
      </c>
      <c r="G86" s="10" t="s">
        <v>297</v>
      </c>
      <c r="H86" s="10" t="s">
        <v>298</v>
      </c>
    </row>
    <row r="87" customFormat="false" ht="15" hidden="false" customHeight="false" outlineLevel="0" collapsed="false">
      <c r="A87" s="15" t="n">
        <v>45743</v>
      </c>
      <c r="B87" s="11" t="n">
        <v>2025</v>
      </c>
      <c r="C87" s="11" t="n">
        <v>3</v>
      </c>
      <c r="D87" s="11" t="s">
        <v>307</v>
      </c>
      <c r="E87" s="11" t="s">
        <v>296</v>
      </c>
      <c r="F87" s="11" t="n">
        <v>4</v>
      </c>
      <c r="G87" s="11" t="s">
        <v>299</v>
      </c>
      <c r="H87" s="11" t="s">
        <v>298</v>
      </c>
    </row>
    <row r="88" customFormat="false" ht="15" hidden="false" customHeight="false" outlineLevel="0" collapsed="false">
      <c r="A88" s="14" t="n">
        <v>45744</v>
      </c>
      <c r="B88" s="10" t="n">
        <v>2025</v>
      </c>
      <c r="C88" s="10" t="n">
        <v>3</v>
      </c>
      <c r="D88" s="10" t="s">
        <v>307</v>
      </c>
      <c r="E88" s="10" t="s">
        <v>296</v>
      </c>
      <c r="F88" s="10" t="n">
        <v>5</v>
      </c>
      <c r="G88" s="10" t="s">
        <v>300</v>
      </c>
      <c r="H88" s="10" t="s">
        <v>298</v>
      </c>
    </row>
    <row r="89" customFormat="false" ht="15" hidden="false" customHeight="false" outlineLevel="0" collapsed="false">
      <c r="A89" s="15" t="n">
        <v>45745</v>
      </c>
      <c r="B89" s="11" t="n">
        <v>2025</v>
      </c>
      <c r="C89" s="11" t="n">
        <v>3</v>
      </c>
      <c r="D89" s="11" t="s">
        <v>307</v>
      </c>
      <c r="E89" s="11" t="s">
        <v>296</v>
      </c>
      <c r="F89" s="11" t="n">
        <v>6</v>
      </c>
      <c r="G89" s="11" t="s">
        <v>301</v>
      </c>
      <c r="H89" s="11" t="s">
        <v>302</v>
      </c>
    </row>
    <row r="90" customFormat="false" ht="15" hidden="false" customHeight="false" outlineLevel="0" collapsed="false">
      <c r="A90" s="14" t="n">
        <v>45746</v>
      </c>
      <c r="B90" s="10" t="n">
        <v>2025</v>
      </c>
      <c r="C90" s="10" t="n">
        <v>3</v>
      </c>
      <c r="D90" s="10" t="s">
        <v>307</v>
      </c>
      <c r="E90" s="10" t="s">
        <v>296</v>
      </c>
      <c r="F90" s="10" t="n">
        <v>7</v>
      </c>
      <c r="G90" s="10" t="s">
        <v>303</v>
      </c>
      <c r="H90" s="10" t="s">
        <v>302</v>
      </c>
    </row>
    <row r="91" customFormat="false" ht="15" hidden="false" customHeight="false" outlineLevel="0" collapsed="false">
      <c r="A91" s="15" t="n">
        <v>45747</v>
      </c>
      <c r="B91" s="11" t="n">
        <v>2025</v>
      </c>
      <c r="C91" s="11" t="n">
        <v>3</v>
      </c>
      <c r="D91" s="11" t="s">
        <v>307</v>
      </c>
      <c r="E91" s="11" t="s">
        <v>296</v>
      </c>
      <c r="F91" s="11" t="n">
        <v>1</v>
      </c>
      <c r="G91" s="11" t="s">
        <v>304</v>
      </c>
      <c r="H91" s="11" t="s">
        <v>298</v>
      </c>
    </row>
    <row r="92" customFormat="false" ht="15" hidden="false" customHeight="false" outlineLevel="0" collapsed="false">
      <c r="A92" s="14" t="n">
        <v>45748</v>
      </c>
      <c r="B92" s="10" t="n">
        <v>2025</v>
      </c>
      <c r="C92" s="10" t="n">
        <v>4</v>
      </c>
      <c r="D92" s="10" t="s">
        <v>308</v>
      </c>
      <c r="E92" s="10" t="s">
        <v>309</v>
      </c>
      <c r="F92" s="10" t="n">
        <v>2</v>
      </c>
      <c r="G92" s="10" t="s">
        <v>305</v>
      </c>
      <c r="H92" s="10" t="s">
        <v>298</v>
      </c>
    </row>
    <row r="93" customFormat="false" ht="15" hidden="false" customHeight="false" outlineLevel="0" collapsed="false">
      <c r="A93" s="15" t="n">
        <v>45749</v>
      </c>
      <c r="B93" s="11" t="n">
        <v>2025</v>
      </c>
      <c r="C93" s="11" t="n">
        <v>4</v>
      </c>
      <c r="D93" s="11" t="s">
        <v>308</v>
      </c>
      <c r="E93" s="11" t="s">
        <v>309</v>
      </c>
      <c r="F93" s="11" t="n">
        <v>3</v>
      </c>
      <c r="G93" s="11" t="s">
        <v>297</v>
      </c>
      <c r="H93" s="11" t="s">
        <v>298</v>
      </c>
    </row>
    <row r="94" customFormat="false" ht="15" hidden="false" customHeight="false" outlineLevel="0" collapsed="false">
      <c r="A94" s="14" t="n">
        <v>45750</v>
      </c>
      <c r="B94" s="10" t="n">
        <v>2025</v>
      </c>
      <c r="C94" s="10" t="n">
        <v>4</v>
      </c>
      <c r="D94" s="10" t="s">
        <v>308</v>
      </c>
      <c r="E94" s="10" t="s">
        <v>309</v>
      </c>
      <c r="F94" s="10" t="n">
        <v>4</v>
      </c>
      <c r="G94" s="10" t="s">
        <v>299</v>
      </c>
      <c r="H94" s="10" t="s">
        <v>298</v>
      </c>
    </row>
    <row r="95" customFormat="false" ht="15" hidden="false" customHeight="false" outlineLevel="0" collapsed="false">
      <c r="A95" s="15" t="n">
        <v>45751</v>
      </c>
      <c r="B95" s="11" t="n">
        <v>2025</v>
      </c>
      <c r="C95" s="11" t="n">
        <v>4</v>
      </c>
      <c r="D95" s="11" t="s">
        <v>308</v>
      </c>
      <c r="E95" s="11" t="s">
        <v>309</v>
      </c>
      <c r="F95" s="11" t="n">
        <v>5</v>
      </c>
      <c r="G95" s="11" t="s">
        <v>300</v>
      </c>
      <c r="H95" s="11" t="s">
        <v>298</v>
      </c>
    </row>
    <row r="96" customFormat="false" ht="15" hidden="false" customHeight="false" outlineLevel="0" collapsed="false">
      <c r="A96" s="14" t="n">
        <v>45752</v>
      </c>
      <c r="B96" s="10" t="n">
        <v>2025</v>
      </c>
      <c r="C96" s="10" t="n">
        <v>4</v>
      </c>
      <c r="D96" s="10" t="s">
        <v>308</v>
      </c>
      <c r="E96" s="10" t="s">
        <v>309</v>
      </c>
      <c r="F96" s="10" t="n">
        <v>6</v>
      </c>
      <c r="G96" s="10" t="s">
        <v>301</v>
      </c>
      <c r="H96" s="10" t="s">
        <v>302</v>
      </c>
    </row>
    <row r="97" customFormat="false" ht="15" hidden="false" customHeight="false" outlineLevel="0" collapsed="false">
      <c r="A97" s="15" t="n">
        <v>45753</v>
      </c>
      <c r="B97" s="11" t="n">
        <v>2025</v>
      </c>
      <c r="C97" s="11" t="n">
        <v>4</v>
      </c>
      <c r="D97" s="11" t="s">
        <v>308</v>
      </c>
      <c r="E97" s="11" t="s">
        <v>309</v>
      </c>
      <c r="F97" s="11" t="n">
        <v>7</v>
      </c>
      <c r="G97" s="11" t="s">
        <v>303</v>
      </c>
      <c r="H97" s="11" t="s">
        <v>302</v>
      </c>
    </row>
    <row r="98" customFormat="false" ht="15" hidden="false" customHeight="false" outlineLevel="0" collapsed="false">
      <c r="A98" s="14" t="n">
        <v>45754</v>
      </c>
      <c r="B98" s="10" t="n">
        <v>2025</v>
      </c>
      <c r="C98" s="10" t="n">
        <v>4</v>
      </c>
      <c r="D98" s="10" t="s">
        <v>308</v>
      </c>
      <c r="E98" s="10" t="s">
        <v>309</v>
      </c>
      <c r="F98" s="10" t="n">
        <v>1</v>
      </c>
      <c r="G98" s="10" t="s">
        <v>304</v>
      </c>
      <c r="H98" s="10" t="s">
        <v>298</v>
      </c>
    </row>
    <row r="99" customFormat="false" ht="15" hidden="false" customHeight="false" outlineLevel="0" collapsed="false">
      <c r="A99" s="15" t="n">
        <v>45755</v>
      </c>
      <c r="B99" s="11" t="n">
        <v>2025</v>
      </c>
      <c r="C99" s="11" t="n">
        <v>4</v>
      </c>
      <c r="D99" s="11" t="s">
        <v>308</v>
      </c>
      <c r="E99" s="11" t="s">
        <v>309</v>
      </c>
      <c r="F99" s="11" t="n">
        <v>2</v>
      </c>
      <c r="G99" s="11" t="s">
        <v>305</v>
      </c>
      <c r="H99" s="11" t="s">
        <v>298</v>
      </c>
    </row>
    <row r="100" customFormat="false" ht="15" hidden="false" customHeight="false" outlineLevel="0" collapsed="false">
      <c r="A100" s="14" t="n">
        <v>45756</v>
      </c>
      <c r="B100" s="10" t="n">
        <v>2025</v>
      </c>
      <c r="C100" s="10" t="n">
        <v>4</v>
      </c>
      <c r="D100" s="10" t="s">
        <v>308</v>
      </c>
      <c r="E100" s="10" t="s">
        <v>309</v>
      </c>
      <c r="F100" s="10" t="n">
        <v>3</v>
      </c>
      <c r="G100" s="10" t="s">
        <v>297</v>
      </c>
      <c r="H100" s="10" t="s">
        <v>298</v>
      </c>
    </row>
    <row r="101" customFormat="false" ht="15" hidden="false" customHeight="false" outlineLevel="0" collapsed="false">
      <c r="A101" s="15" t="n">
        <v>45757</v>
      </c>
      <c r="B101" s="11" t="n">
        <v>2025</v>
      </c>
      <c r="C101" s="11" t="n">
        <v>4</v>
      </c>
      <c r="D101" s="11" t="s">
        <v>308</v>
      </c>
      <c r="E101" s="11" t="s">
        <v>309</v>
      </c>
      <c r="F101" s="11" t="n">
        <v>4</v>
      </c>
      <c r="G101" s="11" t="s">
        <v>299</v>
      </c>
      <c r="H101" s="11" t="s">
        <v>298</v>
      </c>
    </row>
    <row r="102" customFormat="false" ht="15" hidden="false" customHeight="false" outlineLevel="0" collapsed="false">
      <c r="A102" s="14" t="n">
        <v>45758</v>
      </c>
      <c r="B102" s="10" t="n">
        <v>2025</v>
      </c>
      <c r="C102" s="10" t="n">
        <v>4</v>
      </c>
      <c r="D102" s="10" t="s">
        <v>308</v>
      </c>
      <c r="E102" s="10" t="s">
        <v>309</v>
      </c>
      <c r="F102" s="10" t="n">
        <v>5</v>
      </c>
      <c r="G102" s="10" t="s">
        <v>300</v>
      </c>
      <c r="H102" s="10" t="s">
        <v>298</v>
      </c>
    </row>
    <row r="103" customFormat="false" ht="15" hidden="false" customHeight="false" outlineLevel="0" collapsed="false">
      <c r="A103" s="15" t="n">
        <v>45759</v>
      </c>
      <c r="B103" s="11" t="n">
        <v>2025</v>
      </c>
      <c r="C103" s="11" t="n">
        <v>4</v>
      </c>
      <c r="D103" s="11" t="s">
        <v>308</v>
      </c>
      <c r="E103" s="11" t="s">
        <v>309</v>
      </c>
      <c r="F103" s="11" t="n">
        <v>6</v>
      </c>
      <c r="G103" s="11" t="s">
        <v>301</v>
      </c>
      <c r="H103" s="11" t="s">
        <v>302</v>
      </c>
    </row>
    <row r="104" customFormat="false" ht="15" hidden="false" customHeight="false" outlineLevel="0" collapsed="false">
      <c r="A104" s="14" t="n">
        <v>45760</v>
      </c>
      <c r="B104" s="10" t="n">
        <v>2025</v>
      </c>
      <c r="C104" s="10" t="n">
        <v>4</v>
      </c>
      <c r="D104" s="10" t="s">
        <v>308</v>
      </c>
      <c r="E104" s="10" t="s">
        <v>309</v>
      </c>
      <c r="F104" s="10" t="n">
        <v>7</v>
      </c>
      <c r="G104" s="10" t="s">
        <v>303</v>
      </c>
      <c r="H104" s="10" t="s">
        <v>302</v>
      </c>
    </row>
    <row r="105" customFormat="false" ht="15" hidden="false" customHeight="false" outlineLevel="0" collapsed="false">
      <c r="A105" s="15" t="n">
        <v>45761</v>
      </c>
      <c r="B105" s="11" t="n">
        <v>2025</v>
      </c>
      <c r="C105" s="11" t="n">
        <v>4</v>
      </c>
      <c r="D105" s="11" t="s">
        <v>308</v>
      </c>
      <c r="E105" s="11" t="s">
        <v>309</v>
      </c>
      <c r="F105" s="11" t="n">
        <v>1</v>
      </c>
      <c r="G105" s="11" t="s">
        <v>304</v>
      </c>
      <c r="H105" s="11" t="s">
        <v>298</v>
      </c>
    </row>
    <row r="106" customFormat="false" ht="15" hidden="false" customHeight="false" outlineLevel="0" collapsed="false">
      <c r="A106" s="14" t="n">
        <v>45762</v>
      </c>
      <c r="B106" s="10" t="n">
        <v>2025</v>
      </c>
      <c r="C106" s="10" t="n">
        <v>4</v>
      </c>
      <c r="D106" s="10" t="s">
        <v>308</v>
      </c>
      <c r="E106" s="10" t="s">
        <v>309</v>
      </c>
      <c r="F106" s="10" t="n">
        <v>2</v>
      </c>
      <c r="G106" s="10" t="s">
        <v>305</v>
      </c>
      <c r="H106" s="10" t="s">
        <v>298</v>
      </c>
    </row>
    <row r="107" customFormat="false" ht="15" hidden="false" customHeight="false" outlineLevel="0" collapsed="false">
      <c r="A107" s="15" t="n">
        <v>45763</v>
      </c>
      <c r="B107" s="11" t="n">
        <v>2025</v>
      </c>
      <c r="C107" s="11" t="n">
        <v>4</v>
      </c>
      <c r="D107" s="11" t="s">
        <v>308</v>
      </c>
      <c r="E107" s="11" t="s">
        <v>309</v>
      </c>
      <c r="F107" s="11" t="n">
        <v>3</v>
      </c>
      <c r="G107" s="11" t="s">
        <v>297</v>
      </c>
      <c r="H107" s="11" t="s">
        <v>298</v>
      </c>
    </row>
    <row r="108" customFormat="false" ht="15" hidden="false" customHeight="false" outlineLevel="0" collapsed="false">
      <c r="A108" s="14" t="n">
        <v>45764</v>
      </c>
      <c r="B108" s="10" t="n">
        <v>2025</v>
      </c>
      <c r="C108" s="10" t="n">
        <v>4</v>
      </c>
      <c r="D108" s="10" t="s">
        <v>308</v>
      </c>
      <c r="E108" s="10" t="s">
        <v>309</v>
      </c>
      <c r="F108" s="10" t="n">
        <v>4</v>
      </c>
      <c r="G108" s="10" t="s">
        <v>299</v>
      </c>
      <c r="H108" s="10" t="s">
        <v>298</v>
      </c>
    </row>
    <row r="109" customFormat="false" ht="15" hidden="false" customHeight="false" outlineLevel="0" collapsed="false">
      <c r="A109" s="15" t="n">
        <v>45765</v>
      </c>
      <c r="B109" s="11" t="n">
        <v>2025</v>
      </c>
      <c r="C109" s="11" t="n">
        <v>4</v>
      </c>
      <c r="D109" s="11" t="s">
        <v>308</v>
      </c>
      <c r="E109" s="11" t="s">
        <v>309</v>
      </c>
      <c r="F109" s="11" t="n">
        <v>5</v>
      </c>
      <c r="G109" s="11" t="s">
        <v>300</v>
      </c>
      <c r="H109" s="11" t="s">
        <v>298</v>
      </c>
    </row>
    <row r="110" customFormat="false" ht="15" hidden="false" customHeight="false" outlineLevel="0" collapsed="false">
      <c r="A110" s="14" t="n">
        <v>45766</v>
      </c>
      <c r="B110" s="10" t="n">
        <v>2025</v>
      </c>
      <c r="C110" s="10" t="n">
        <v>4</v>
      </c>
      <c r="D110" s="10" t="s">
        <v>308</v>
      </c>
      <c r="E110" s="10" t="s">
        <v>309</v>
      </c>
      <c r="F110" s="10" t="n">
        <v>6</v>
      </c>
      <c r="G110" s="10" t="s">
        <v>301</v>
      </c>
      <c r="H110" s="10" t="s">
        <v>302</v>
      </c>
    </row>
    <row r="111" customFormat="false" ht="15" hidden="false" customHeight="false" outlineLevel="0" collapsed="false">
      <c r="A111" s="15" t="n">
        <v>45767</v>
      </c>
      <c r="B111" s="11" t="n">
        <v>2025</v>
      </c>
      <c r="C111" s="11" t="n">
        <v>4</v>
      </c>
      <c r="D111" s="11" t="s">
        <v>308</v>
      </c>
      <c r="E111" s="11" t="s">
        <v>309</v>
      </c>
      <c r="F111" s="11" t="n">
        <v>7</v>
      </c>
      <c r="G111" s="11" t="s">
        <v>303</v>
      </c>
      <c r="H111" s="11" t="s">
        <v>302</v>
      </c>
    </row>
    <row r="112" customFormat="false" ht="15" hidden="false" customHeight="false" outlineLevel="0" collapsed="false">
      <c r="A112" s="14" t="n">
        <v>45768</v>
      </c>
      <c r="B112" s="10" t="n">
        <v>2025</v>
      </c>
      <c r="C112" s="10" t="n">
        <v>4</v>
      </c>
      <c r="D112" s="10" t="s">
        <v>308</v>
      </c>
      <c r="E112" s="10" t="s">
        <v>309</v>
      </c>
      <c r="F112" s="10" t="n">
        <v>1</v>
      </c>
      <c r="G112" s="10" t="s">
        <v>304</v>
      </c>
      <c r="H112" s="10" t="s">
        <v>298</v>
      </c>
    </row>
    <row r="113" customFormat="false" ht="15" hidden="false" customHeight="false" outlineLevel="0" collapsed="false">
      <c r="A113" s="15" t="n">
        <v>45769</v>
      </c>
      <c r="B113" s="11" t="n">
        <v>2025</v>
      </c>
      <c r="C113" s="11" t="n">
        <v>4</v>
      </c>
      <c r="D113" s="11" t="s">
        <v>308</v>
      </c>
      <c r="E113" s="11" t="s">
        <v>309</v>
      </c>
      <c r="F113" s="11" t="n">
        <v>2</v>
      </c>
      <c r="G113" s="11" t="s">
        <v>305</v>
      </c>
      <c r="H113" s="11" t="s">
        <v>298</v>
      </c>
    </row>
    <row r="114" customFormat="false" ht="15" hidden="false" customHeight="false" outlineLevel="0" collapsed="false">
      <c r="A114" s="14" t="n">
        <v>45770</v>
      </c>
      <c r="B114" s="10" t="n">
        <v>2025</v>
      </c>
      <c r="C114" s="10" t="n">
        <v>4</v>
      </c>
      <c r="D114" s="10" t="s">
        <v>308</v>
      </c>
      <c r="E114" s="10" t="s">
        <v>309</v>
      </c>
      <c r="F114" s="10" t="n">
        <v>3</v>
      </c>
      <c r="G114" s="10" t="s">
        <v>297</v>
      </c>
      <c r="H114" s="10" t="s">
        <v>298</v>
      </c>
    </row>
    <row r="115" customFormat="false" ht="15" hidden="false" customHeight="false" outlineLevel="0" collapsed="false">
      <c r="A115" s="15" t="n">
        <v>45771</v>
      </c>
      <c r="B115" s="11" t="n">
        <v>2025</v>
      </c>
      <c r="C115" s="11" t="n">
        <v>4</v>
      </c>
      <c r="D115" s="11" t="s">
        <v>308</v>
      </c>
      <c r="E115" s="11" t="s">
        <v>309</v>
      </c>
      <c r="F115" s="11" t="n">
        <v>4</v>
      </c>
      <c r="G115" s="11" t="s">
        <v>299</v>
      </c>
      <c r="H115" s="11" t="s">
        <v>298</v>
      </c>
    </row>
    <row r="116" customFormat="false" ht="15" hidden="false" customHeight="false" outlineLevel="0" collapsed="false">
      <c r="A116" s="14" t="n">
        <v>45772</v>
      </c>
      <c r="B116" s="10" t="n">
        <v>2025</v>
      </c>
      <c r="C116" s="10" t="n">
        <v>4</v>
      </c>
      <c r="D116" s="10" t="s">
        <v>308</v>
      </c>
      <c r="E116" s="10" t="s">
        <v>309</v>
      </c>
      <c r="F116" s="10" t="n">
        <v>5</v>
      </c>
      <c r="G116" s="10" t="s">
        <v>300</v>
      </c>
      <c r="H116" s="10" t="s">
        <v>298</v>
      </c>
    </row>
    <row r="117" customFormat="false" ht="15" hidden="false" customHeight="false" outlineLevel="0" collapsed="false">
      <c r="A117" s="15" t="n">
        <v>45773</v>
      </c>
      <c r="B117" s="11" t="n">
        <v>2025</v>
      </c>
      <c r="C117" s="11" t="n">
        <v>4</v>
      </c>
      <c r="D117" s="11" t="s">
        <v>308</v>
      </c>
      <c r="E117" s="11" t="s">
        <v>309</v>
      </c>
      <c r="F117" s="11" t="n">
        <v>6</v>
      </c>
      <c r="G117" s="11" t="s">
        <v>301</v>
      </c>
      <c r="H117" s="11" t="s">
        <v>302</v>
      </c>
    </row>
    <row r="118" customFormat="false" ht="15" hidden="false" customHeight="false" outlineLevel="0" collapsed="false">
      <c r="A118" s="14" t="n">
        <v>45774</v>
      </c>
      <c r="B118" s="10" t="n">
        <v>2025</v>
      </c>
      <c r="C118" s="10" t="n">
        <v>4</v>
      </c>
      <c r="D118" s="10" t="s">
        <v>308</v>
      </c>
      <c r="E118" s="10" t="s">
        <v>309</v>
      </c>
      <c r="F118" s="10" t="n">
        <v>7</v>
      </c>
      <c r="G118" s="10" t="s">
        <v>303</v>
      </c>
      <c r="H118" s="10" t="s">
        <v>302</v>
      </c>
    </row>
    <row r="119" customFormat="false" ht="15" hidden="false" customHeight="false" outlineLevel="0" collapsed="false">
      <c r="A119" s="15" t="n">
        <v>45775</v>
      </c>
      <c r="B119" s="11" t="n">
        <v>2025</v>
      </c>
      <c r="C119" s="11" t="n">
        <v>4</v>
      </c>
      <c r="D119" s="11" t="s">
        <v>308</v>
      </c>
      <c r="E119" s="11" t="s">
        <v>309</v>
      </c>
      <c r="F119" s="11" t="n">
        <v>1</v>
      </c>
      <c r="G119" s="11" t="s">
        <v>304</v>
      </c>
      <c r="H119" s="11" t="s">
        <v>298</v>
      </c>
    </row>
    <row r="120" customFormat="false" ht="15" hidden="false" customHeight="false" outlineLevel="0" collapsed="false">
      <c r="A120" s="14" t="n">
        <v>45776</v>
      </c>
      <c r="B120" s="10" t="n">
        <v>2025</v>
      </c>
      <c r="C120" s="10" t="n">
        <v>4</v>
      </c>
      <c r="D120" s="10" t="s">
        <v>308</v>
      </c>
      <c r="E120" s="10" t="s">
        <v>309</v>
      </c>
      <c r="F120" s="10" t="n">
        <v>2</v>
      </c>
      <c r="G120" s="10" t="s">
        <v>305</v>
      </c>
      <c r="H120" s="10" t="s">
        <v>298</v>
      </c>
    </row>
    <row r="121" customFormat="false" ht="15" hidden="false" customHeight="false" outlineLevel="0" collapsed="false">
      <c r="A121" s="15" t="n">
        <v>45777</v>
      </c>
      <c r="B121" s="11" t="n">
        <v>2025</v>
      </c>
      <c r="C121" s="11" t="n">
        <v>4</v>
      </c>
      <c r="D121" s="11" t="s">
        <v>308</v>
      </c>
      <c r="E121" s="11" t="s">
        <v>309</v>
      </c>
      <c r="F121" s="11" t="n">
        <v>3</v>
      </c>
      <c r="G121" s="11" t="s">
        <v>297</v>
      </c>
      <c r="H121" s="11" t="s">
        <v>298</v>
      </c>
    </row>
    <row r="122" customFormat="false" ht="15" hidden="false" customHeight="false" outlineLevel="0" collapsed="false">
      <c r="A122" s="14" t="n">
        <v>45778</v>
      </c>
      <c r="B122" s="10" t="n">
        <v>2025</v>
      </c>
      <c r="C122" s="10" t="n">
        <v>5</v>
      </c>
      <c r="D122" s="10" t="s">
        <v>310</v>
      </c>
      <c r="E122" s="10" t="s">
        <v>309</v>
      </c>
      <c r="F122" s="10" t="n">
        <v>4</v>
      </c>
      <c r="G122" s="10" t="s">
        <v>299</v>
      </c>
      <c r="H122" s="10" t="s">
        <v>298</v>
      </c>
    </row>
    <row r="123" customFormat="false" ht="15" hidden="false" customHeight="false" outlineLevel="0" collapsed="false">
      <c r="A123" s="15" t="n">
        <v>45779</v>
      </c>
      <c r="B123" s="11" t="n">
        <v>2025</v>
      </c>
      <c r="C123" s="11" t="n">
        <v>5</v>
      </c>
      <c r="D123" s="11" t="s">
        <v>310</v>
      </c>
      <c r="E123" s="11" t="s">
        <v>309</v>
      </c>
      <c r="F123" s="11" t="n">
        <v>5</v>
      </c>
      <c r="G123" s="11" t="s">
        <v>300</v>
      </c>
      <c r="H123" s="11" t="s">
        <v>298</v>
      </c>
    </row>
    <row r="124" customFormat="false" ht="15" hidden="false" customHeight="false" outlineLevel="0" collapsed="false">
      <c r="A124" s="14" t="n">
        <v>45780</v>
      </c>
      <c r="B124" s="10" t="n">
        <v>2025</v>
      </c>
      <c r="C124" s="10" t="n">
        <v>5</v>
      </c>
      <c r="D124" s="10" t="s">
        <v>310</v>
      </c>
      <c r="E124" s="10" t="s">
        <v>309</v>
      </c>
      <c r="F124" s="10" t="n">
        <v>6</v>
      </c>
      <c r="G124" s="10" t="s">
        <v>301</v>
      </c>
      <c r="H124" s="10" t="s">
        <v>302</v>
      </c>
    </row>
    <row r="125" customFormat="false" ht="15" hidden="false" customHeight="false" outlineLevel="0" collapsed="false">
      <c r="A125" s="15" t="n">
        <v>45781</v>
      </c>
      <c r="B125" s="11" t="n">
        <v>2025</v>
      </c>
      <c r="C125" s="11" t="n">
        <v>5</v>
      </c>
      <c r="D125" s="11" t="s">
        <v>310</v>
      </c>
      <c r="E125" s="11" t="s">
        <v>309</v>
      </c>
      <c r="F125" s="11" t="n">
        <v>7</v>
      </c>
      <c r="G125" s="11" t="s">
        <v>303</v>
      </c>
      <c r="H125" s="11" t="s">
        <v>302</v>
      </c>
    </row>
    <row r="126" customFormat="false" ht="15" hidden="false" customHeight="false" outlineLevel="0" collapsed="false">
      <c r="A126" s="14" t="n">
        <v>45782</v>
      </c>
      <c r="B126" s="10" t="n">
        <v>2025</v>
      </c>
      <c r="C126" s="10" t="n">
        <v>5</v>
      </c>
      <c r="D126" s="10" t="s">
        <v>310</v>
      </c>
      <c r="E126" s="10" t="s">
        <v>309</v>
      </c>
      <c r="F126" s="10" t="n">
        <v>1</v>
      </c>
      <c r="G126" s="10" t="s">
        <v>304</v>
      </c>
      <c r="H126" s="10" t="s">
        <v>298</v>
      </c>
    </row>
    <row r="127" customFormat="false" ht="15" hidden="false" customHeight="false" outlineLevel="0" collapsed="false">
      <c r="A127" s="15" t="n">
        <v>45783</v>
      </c>
      <c r="B127" s="11" t="n">
        <v>2025</v>
      </c>
      <c r="C127" s="11" t="n">
        <v>5</v>
      </c>
      <c r="D127" s="11" t="s">
        <v>310</v>
      </c>
      <c r="E127" s="11" t="s">
        <v>309</v>
      </c>
      <c r="F127" s="11" t="n">
        <v>2</v>
      </c>
      <c r="G127" s="11" t="s">
        <v>305</v>
      </c>
      <c r="H127" s="11" t="s">
        <v>298</v>
      </c>
    </row>
    <row r="128" customFormat="false" ht="15" hidden="false" customHeight="false" outlineLevel="0" collapsed="false">
      <c r="A128" s="14" t="n">
        <v>45784</v>
      </c>
      <c r="B128" s="10" t="n">
        <v>2025</v>
      </c>
      <c r="C128" s="10" t="n">
        <v>5</v>
      </c>
      <c r="D128" s="10" t="s">
        <v>310</v>
      </c>
      <c r="E128" s="10" t="s">
        <v>309</v>
      </c>
      <c r="F128" s="10" t="n">
        <v>3</v>
      </c>
      <c r="G128" s="10" t="s">
        <v>297</v>
      </c>
      <c r="H128" s="10" t="s">
        <v>298</v>
      </c>
    </row>
    <row r="129" customFormat="false" ht="15" hidden="false" customHeight="false" outlineLevel="0" collapsed="false">
      <c r="A129" s="15" t="n">
        <v>45785</v>
      </c>
      <c r="B129" s="11" t="n">
        <v>2025</v>
      </c>
      <c r="C129" s="11" t="n">
        <v>5</v>
      </c>
      <c r="D129" s="11" t="s">
        <v>310</v>
      </c>
      <c r="E129" s="11" t="s">
        <v>309</v>
      </c>
      <c r="F129" s="11" t="n">
        <v>4</v>
      </c>
      <c r="G129" s="11" t="s">
        <v>299</v>
      </c>
      <c r="H129" s="11" t="s">
        <v>298</v>
      </c>
    </row>
    <row r="130" customFormat="false" ht="15" hidden="false" customHeight="false" outlineLevel="0" collapsed="false">
      <c r="A130" s="14" t="n">
        <v>45786</v>
      </c>
      <c r="B130" s="10" t="n">
        <v>2025</v>
      </c>
      <c r="C130" s="10" t="n">
        <v>5</v>
      </c>
      <c r="D130" s="10" t="s">
        <v>310</v>
      </c>
      <c r="E130" s="10" t="s">
        <v>309</v>
      </c>
      <c r="F130" s="10" t="n">
        <v>5</v>
      </c>
      <c r="G130" s="10" t="s">
        <v>300</v>
      </c>
      <c r="H130" s="10" t="s">
        <v>298</v>
      </c>
    </row>
    <row r="131" customFormat="false" ht="15" hidden="false" customHeight="false" outlineLevel="0" collapsed="false">
      <c r="A131" s="15" t="n">
        <v>45787</v>
      </c>
      <c r="B131" s="11" t="n">
        <v>2025</v>
      </c>
      <c r="C131" s="11" t="n">
        <v>5</v>
      </c>
      <c r="D131" s="11" t="s">
        <v>310</v>
      </c>
      <c r="E131" s="11" t="s">
        <v>309</v>
      </c>
      <c r="F131" s="11" t="n">
        <v>6</v>
      </c>
      <c r="G131" s="11" t="s">
        <v>301</v>
      </c>
      <c r="H131" s="11" t="s">
        <v>302</v>
      </c>
    </row>
    <row r="132" customFormat="false" ht="15" hidden="false" customHeight="false" outlineLevel="0" collapsed="false">
      <c r="A132" s="14" t="n">
        <v>45788</v>
      </c>
      <c r="B132" s="10" t="n">
        <v>2025</v>
      </c>
      <c r="C132" s="10" t="n">
        <v>5</v>
      </c>
      <c r="D132" s="10" t="s">
        <v>310</v>
      </c>
      <c r="E132" s="10" t="s">
        <v>309</v>
      </c>
      <c r="F132" s="10" t="n">
        <v>7</v>
      </c>
      <c r="G132" s="10" t="s">
        <v>303</v>
      </c>
      <c r="H132" s="10" t="s">
        <v>302</v>
      </c>
    </row>
    <row r="133" customFormat="false" ht="15" hidden="false" customHeight="false" outlineLevel="0" collapsed="false">
      <c r="A133" s="15" t="n">
        <v>45789</v>
      </c>
      <c r="B133" s="11" t="n">
        <v>2025</v>
      </c>
      <c r="C133" s="11" t="n">
        <v>5</v>
      </c>
      <c r="D133" s="11" t="s">
        <v>310</v>
      </c>
      <c r="E133" s="11" t="s">
        <v>309</v>
      </c>
      <c r="F133" s="11" t="n">
        <v>1</v>
      </c>
      <c r="G133" s="11" t="s">
        <v>304</v>
      </c>
      <c r="H133" s="11" t="s">
        <v>298</v>
      </c>
    </row>
    <row r="134" customFormat="false" ht="15" hidden="false" customHeight="false" outlineLevel="0" collapsed="false">
      <c r="A134" s="14" t="n">
        <v>45790</v>
      </c>
      <c r="B134" s="10" t="n">
        <v>2025</v>
      </c>
      <c r="C134" s="10" t="n">
        <v>5</v>
      </c>
      <c r="D134" s="10" t="s">
        <v>310</v>
      </c>
      <c r="E134" s="10" t="s">
        <v>309</v>
      </c>
      <c r="F134" s="10" t="n">
        <v>2</v>
      </c>
      <c r="G134" s="10" t="s">
        <v>305</v>
      </c>
      <c r="H134" s="10" t="s">
        <v>298</v>
      </c>
    </row>
    <row r="135" customFormat="false" ht="15" hidden="false" customHeight="false" outlineLevel="0" collapsed="false">
      <c r="A135" s="15" t="n">
        <v>45791</v>
      </c>
      <c r="B135" s="11" t="n">
        <v>2025</v>
      </c>
      <c r="C135" s="11" t="n">
        <v>5</v>
      </c>
      <c r="D135" s="11" t="s">
        <v>310</v>
      </c>
      <c r="E135" s="11" t="s">
        <v>309</v>
      </c>
      <c r="F135" s="11" t="n">
        <v>3</v>
      </c>
      <c r="G135" s="11" t="s">
        <v>297</v>
      </c>
      <c r="H135" s="11" t="s">
        <v>298</v>
      </c>
    </row>
    <row r="136" customFormat="false" ht="15" hidden="false" customHeight="false" outlineLevel="0" collapsed="false">
      <c r="A136" s="14" t="n">
        <v>45792</v>
      </c>
      <c r="B136" s="10" t="n">
        <v>2025</v>
      </c>
      <c r="C136" s="10" t="n">
        <v>5</v>
      </c>
      <c r="D136" s="10" t="s">
        <v>310</v>
      </c>
      <c r="E136" s="10" t="s">
        <v>309</v>
      </c>
      <c r="F136" s="10" t="n">
        <v>4</v>
      </c>
      <c r="G136" s="10" t="s">
        <v>299</v>
      </c>
      <c r="H136" s="10" t="s">
        <v>298</v>
      </c>
    </row>
    <row r="137" customFormat="false" ht="15" hidden="false" customHeight="false" outlineLevel="0" collapsed="false">
      <c r="A137" s="15" t="n">
        <v>45793</v>
      </c>
      <c r="B137" s="11" t="n">
        <v>2025</v>
      </c>
      <c r="C137" s="11" t="n">
        <v>5</v>
      </c>
      <c r="D137" s="11" t="s">
        <v>310</v>
      </c>
      <c r="E137" s="11" t="s">
        <v>309</v>
      </c>
      <c r="F137" s="11" t="n">
        <v>5</v>
      </c>
      <c r="G137" s="11" t="s">
        <v>300</v>
      </c>
      <c r="H137" s="11" t="s">
        <v>298</v>
      </c>
    </row>
    <row r="138" customFormat="false" ht="15" hidden="false" customHeight="false" outlineLevel="0" collapsed="false">
      <c r="A138" s="14" t="n">
        <v>45794</v>
      </c>
      <c r="B138" s="10" t="n">
        <v>2025</v>
      </c>
      <c r="C138" s="10" t="n">
        <v>5</v>
      </c>
      <c r="D138" s="10" t="s">
        <v>310</v>
      </c>
      <c r="E138" s="10" t="s">
        <v>309</v>
      </c>
      <c r="F138" s="10" t="n">
        <v>6</v>
      </c>
      <c r="G138" s="10" t="s">
        <v>301</v>
      </c>
      <c r="H138" s="10" t="s">
        <v>302</v>
      </c>
    </row>
    <row r="139" customFormat="false" ht="15" hidden="false" customHeight="false" outlineLevel="0" collapsed="false">
      <c r="A139" s="15" t="n">
        <v>45795</v>
      </c>
      <c r="B139" s="11" t="n">
        <v>2025</v>
      </c>
      <c r="C139" s="11" t="n">
        <v>5</v>
      </c>
      <c r="D139" s="11" t="s">
        <v>310</v>
      </c>
      <c r="E139" s="11" t="s">
        <v>309</v>
      </c>
      <c r="F139" s="11" t="n">
        <v>7</v>
      </c>
      <c r="G139" s="11" t="s">
        <v>303</v>
      </c>
      <c r="H139" s="11" t="s">
        <v>302</v>
      </c>
    </row>
    <row r="140" customFormat="false" ht="15" hidden="false" customHeight="false" outlineLevel="0" collapsed="false">
      <c r="A140" s="14" t="n">
        <v>45796</v>
      </c>
      <c r="B140" s="10" t="n">
        <v>2025</v>
      </c>
      <c r="C140" s="10" t="n">
        <v>5</v>
      </c>
      <c r="D140" s="10" t="s">
        <v>310</v>
      </c>
      <c r="E140" s="10" t="s">
        <v>309</v>
      </c>
      <c r="F140" s="10" t="n">
        <v>1</v>
      </c>
      <c r="G140" s="10" t="s">
        <v>304</v>
      </c>
      <c r="H140" s="10" t="s">
        <v>298</v>
      </c>
    </row>
    <row r="141" customFormat="false" ht="15" hidden="false" customHeight="false" outlineLevel="0" collapsed="false">
      <c r="A141" s="15" t="n">
        <v>45797</v>
      </c>
      <c r="B141" s="11" t="n">
        <v>2025</v>
      </c>
      <c r="C141" s="11" t="n">
        <v>5</v>
      </c>
      <c r="D141" s="11" t="s">
        <v>310</v>
      </c>
      <c r="E141" s="11" t="s">
        <v>309</v>
      </c>
      <c r="F141" s="11" t="n">
        <v>2</v>
      </c>
      <c r="G141" s="11" t="s">
        <v>305</v>
      </c>
      <c r="H141" s="11" t="s">
        <v>298</v>
      </c>
    </row>
    <row r="142" customFormat="false" ht="15" hidden="false" customHeight="false" outlineLevel="0" collapsed="false">
      <c r="A142" s="14" t="n">
        <v>45798</v>
      </c>
      <c r="B142" s="10" t="n">
        <v>2025</v>
      </c>
      <c r="C142" s="10" t="n">
        <v>5</v>
      </c>
      <c r="D142" s="10" t="s">
        <v>310</v>
      </c>
      <c r="E142" s="10" t="s">
        <v>309</v>
      </c>
      <c r="F142" s="10" t="n">
        <v>3</v>
      </c>
      <c r="G142" s="10" t="s">
        <v>297</v>
      </c>
      <c r="H142" s="10" t="s">
        <v>298</v>
      </c>
    </row>
    <row r="143" customFormat="false" ht="15" hidden="false" customHeight="false" outlineLevel="0" collapsed="false">
      <c r="A143" s="15" t="n">
        <v>45799</v>
      </c>
      <c r="B143" s="11" t="n">
        <v>2025</v>
      </c>
      <c r="C143" s="11" t="n">
        <v>5</v>
      </c>
      <c r="D143" s="11" t="s">
        <v>310</v>
      </c>
      <c r="E143" s="11" t="s">
        <v>309</v>
      </c>
      <c r="F143" s="11" t="n">
        <v>4</v>
      </c>
      <c r="G143" s="11" t="s">
        <v>299</v>
      </c>
      <c r="H143" s="11" t="s">
        <v>298</v>
      </c>
    </row>
    <row r="144" customFormat="false" ht="15" hidden="false" customHeight="false" outlineLevel="0" collapsed="false">
      <c r="A144" s="14" t="n">
        <v>45800</v>
      </c>
      <c r="B144" s="10" t="n">
        <v>2025</v>
      </c>
      <c r="C144" s="10" t="n">
        <v>5</v>
      </c>
      <c r="D144" s="10" t="s">
        <v>310</v>
      </c>
      <c r="E144" s="10" t="s">
        <v>309</v>
      </c>
      <c r="F144" s="10" t="n">
        <v>5</v>
      </c>
      <c r="G144" s="10" t="s">
        <v>300</v>
      </c>
      <c r="H144" s="10" t="s">
        <v>298</v>
      </c>
    </row>
    <row r="145" customFormat="false" ht="15" hidden="false" customHeight="false" outlineLevel="0" collapsed="false">
      <c r="A145" s="15" t="n">
        <v>45801</v>
      </c>
      <c r="B145" s="11" t="n">
        <v>2025</v>
      </c>
      <c r="C145" s="11" t="n">
        <v>5</v>
      </c>
      <c r="D145" s="11" t="s">
        <v>310</v>
      </c>
      <c r="E145" s="11" t="s">
        <v>309</v>
      </c>
      <c r="F145" s="11" t="n">
        <v>6</v>
      </c>
      <c r="G145" s="11" t="s">
        <v>301</v>
      </c>
      <c r="H145" s="11" t="s">
        <v>302</v>
      </c>
    </row>
    <row r="146" customFormat="false" ht="15" hidden="false" customHeight="false" outlineLevel="0" collapsed="false">
      <c r="A146" s="14" t="n">
        <v>45802</v>
      </c>
      <c r="B146" s="10" t="n">
        <v>2025</v>
      </c>
      <c r="C146" s="10" t="n">
        <v>5</v>
      </c>
      <c r="D146" s="10" t="s">
        <v>310</v>
      </c>
      <c r="E146" s="10" t="s">
        <v>309</v>
      </c>
      <c r="F146" s="10" t="n">
        <v>7</v>
      </c>
      <c r="G146" s="10" t="s">
        <v>303</v>
      </c>
      <c r="H146" s="10" t="s">
        <v>302</v>
      </c>
    </row>
    <row r="147" customFormat="false" ht="15" hidden="false" customHeight="false" outlineLevel="0" collapsed="false">
      <c r="A147" s="15" t="n">
        <v>45803</v>
      </c>
      <c r="B147" s="11" t="n">
        <v>2025</v>
      </c>
      <c r="C147" s="11" t="n">
        <v>5</v>
      </c>
      <c r="D147" s="11" t="s">
        <v>310</v>
      </c>
      <c r="E147" s="11" t="s">
        <v>309</v>
      </c>
      <c r="F147" s="11" t="n">
        <v>1</v>
      </c>
      <c r="G147" s="11" t="s">
        <v>304</v>
      </c>
      <c r="H147" s="11" t="s">
        <v>298</v>
      </c>
    </row>
    <row r="148" customFormat="false" ht="15" hidden="false" customHeight="false" outlineLevel="0" collapsed="false">
      <c r="A148" s="14" t="n">
        <v>45804</v>
      </c>
      <c r="B148" s="10" t="n">
        <v>2025</v>
      </c>
      <c r="C148" s="10" t="n">
        <v>5</v>
      </c>
      <c r="D148" s="10" t="s">
        <v>310</v>
      </c>
      <c r="E148" s="10" t="s">
        <v>309</v>
      </c>
      <c r="F148" s="10" t="n">
        <v>2</v>
      </c>
      <c r="G148" s="10" t="s">
        <v>305</v>
      </c>
      <c r="H148" s="10" t="s">
        <v>298</v>
      </c>
    </row>
    <row r="149" customFormat="false" ht="15" hidden="false" customHeight="false" outlineLevel="0" collapsed="false">
      <c r="A149" s="15" t="n">
        <v>45805</v>
      </c>
      <c r="B149" s="11" t="n">
        <v>2025</v>
      </c>
      <c r="C149" s="11" t="n">
        <v>5</v>
      </c>
      <c r="D149" s="11" t="s">
        <v>310</v>
      </c>
      <c r="E149" s="11" t="s">
        <v>309</v>
      </c>
      <c r="F149" s="11" t="n">
        <v>3</v>
      </c>
      <c r="G149" s="11" t="s">
        <v>297</v>
      </c>
      <c r="H149" s="11" t="s">
        <v>298</v>
      </c>
    </row>
    <row r="150" customFormat="false" ht="15" hidden="false" customHeight="false" outlineLevel="0" collapsed="false">
      <c r="A150" s="14" t="n">
        <v>45806</v>
      </c>
      <c r="B150" s="10" t="n">
        <v>2025</v>
      </c>
      <c r="C150" s="10" t="n">
        <v>5</v>
      </c>
      <c r="D150" s="10" t="s">
        <v>310</v>
      </c>
      <c r="E150" s="10" t="s">
        <v>309</v>
      </c>
      <c r="F150" s="10" t="n">
        <v>4</v>
      </c>
      <c r="G150" s="10" t="s">
        <v>299</v>
      </c>
      <c r="H150" s="10" t="s">
        <v>298</v>
      </c>
    </row>
    <row r="151" customFormat="false" ht="15" hidden="false" customHeight="false" outlineLevel="0" collapsed="false">
      <c r="A151" s="15" t="n">
        <v>45807</v>
      </c>
      <c r="B151" s="11" t="n">
        <v>2025</v>
      </c>
      <c r="C151" s="11" t="n">
        <v>5</v>
      </c>
      <c r="D151" s="11" t="s">
        <v>310</v>
      </c>
      <c r="E151" s="11" t="s">
        <v>309</v>
      </c>
      <c r="F151" s="11" t="n">
        <v>5</v>
      </c>
      <c r="G151" s="11" t="s">
        <v>300</v>
      </c>
      <c r="H151" s="11" t="s">
        <v>298</v>
      </c>
    </row>
    <row r="152" customFormat="false" ht="15" hidden="false" customHeight="false" outlineLevel="0" collapsed="false">
      <c r="A152" s="14" t="n">
        <v>45808</v>
      </c>
      <c r="B152" s="10" t="n">
        <v>2025</v>
      </c>
      <c r="C152" s="10" t="n">
        <v>5</v>
      </c>
      <c r="D152" s="10" t="s">
        <v>310</v>
      </c>
      <c r="E152" s="10" t="s">
        <v>309</v>
      </c>
      <c r="F152" s="10" t="n">
        <v>6</v>
      </c>
      <c r="G152" s="10" t="s">
        <v>301</v>
      </c>
      <c r="H152" s="10" t="s">
        <v>302</v>
      </c>
    </row>
    <row r="153" customFormat="false" ht="15" hidden="false" customHeight="false" outlineLevel="0" collapsed="false">
      <c r="A153" s="15" t="n">
        <v>45809</v>
      </c>
      <c r="B153" s="11" t="n">
        <v>2025</v>
      </c>
      <c r="C153" s="11" t="n">
        <v>6</v>
      </c>
      <c r="D153" s="11" t="s">
        <v>311</v>
      </c>
      <c r="E153" s="11" t="s">
        <v>309</v>
      </c>
      <c r="F153" s="11" t="n">
        <v>7</v>
      </c>
      <c r="G153" s="11" t="s">
        <v>303</v>
      </c>
      <c r="H153" s="11" t="s">
        <v>302</v>
      </c>
    </row>
    <row r="154" customFormat="false" ht="15" hidden="false" customHeight="false" outlineLevel="0" collapsed="false">
      <c r="A154" s="14" t="n">
        <v>45810</v>
      </c>
      <c r="B154" s="10" t="n">
        <v>2025</v>
      </c>
      <c r="C154" s="10" t="n">
        <v>6</v>
      </c>
      <c r="D154" s="10" t="s">
        <v>311</v>
      </c>
      <c r="E154" s="10" t="s">
        <v>309</v>
      </c>
      <c r="F154" s="10" t="n">
        <v>1</v>
      </c>
      <c r="G154" s="10" t="s">
        <v>304</v>
      </c>
      <c r="H154" s="10" t="s">
        <v>298</v>
      </c>
    </row>
    <row r="155" customFormat="false" ht="15" hidden="false" customHeight="false" outlineLevel="0" collapsed="false">
      <c r="A155" s="15" t="n">
        <v>45811</v>
      </c>
      <c r="B155" s="11" t="n">
        <v>2025</v>
      </c>
      <c r="C155" s="11" t="n">
        <v>6</v>
      </c>
      <c r="D155" s="11" t="s">
        <v>311</v>
      </c>
      <c r="E155" s="11" t="s">
        <v>309</v>
      </c>
      <c r="F155" s="11" t="n">
        <v>2</v>
      </c>
      <c r="G155" s="11" t="s">
        <v>305</v>
      </c>
      <c r="H155" s="11" t="s">
        <v>298</v>
      </c>
    </row>
    <row r="156" customFormat="false" ht="15" hidden="false" customHeight="false" outlineLevel="0" collapsed="false">
      <c r="A156" s="14" t="n">
        <v>45812</v>
      </c>
      <c r="B156" s="10" t="n">
        <v>2025</v>
      </c>
      <c r="C156" s="10" t="n">
        <v>6</v>
      </c>
      <c r="D156" s="10" t="s">
        <v>311</v>
      </c>
      <c r="E156" s="10" t="s">
        <v>309</v>
      </c>
      <c r="F156" s="10" t="n">
        <v>3</v>
      </c>
      <c r="G156" s="10" t="s">
        <v>297</v>
      </c>
      <c r="H156" s="10" t="s">
        <v>298</v>
      </c>
    </row>
    <row r="157" customFormat="false" ht="15" hidden="false" customHeight="false" outlineLevel="0" collapsed="false">
      <c r="A157" s="15" t="n">
        <v>45813</v>
      </c>
      <c r="B157" s="11" t="n">
        <v>2025</v>
      </c>
      <c r="C157" s="11" t="n">
        <v>6</v>
      </c>
      <c r="D157" s="11" t="s">
        <v>311</v>
      </c>
      <c r="E157" s="11" t="s">
        <v>309</v>
      </c>
      <c r="F157" s="11" t="n">
        <v>4</v>
      </c>
      <c r="G157" s="11" t="s">
        <v>299</v>
      </c>
      <c r="H157" s="11" t="s">
        <v>298</v>
      </c>
    </row>
    <row r="158" customFormat="false" ht="15" hidden="false" customHeight="false" outlineLevel="0" collapsed="false">
      <c r="A158" s="14" t="n">
        <v>45814</v>
      </c>
      <c r="B158" s="10" t="n">
        <v>2025</v>
      </c>
      <c r="C158" s="10" t="n">
        <v>6</v>
      </c>
      <c r="D158" s="10" t="s">
        <v>311</v>
      </c>
      <c r="E158" s="10" t="s">
        <v>309</v>
      </c>
      <c r="F158" s="10" t="n">
        <v>5</v>
      </c>
      <c r="G158" s="10" t="s">
        <v>300</v>
      </c>
      <c r="H158" s="10" t="s">
        <v>298</v>
      </c>
    </row>
    <row r="159" customFormat="false" ht="15" hidden="false" customHeight="false" outlineLevel="0" collapsed="false">
      <c r="A159" s="15" t="n">
        <v>45815</v>
      </c>
      <c r="B159" s="11" t="n">
        <v>2025</v>
      </c>
      <c r="C159" s="11" t="n">
        <v>6</v>
      </c>
      <c r="D159" s="11" t="s">
        <v>311</v>
      </c>
      <c r="E159" s="11" t="s">
        <v>309</v>
      </c>
      <c r="F159" s="11" t="n">
        <v>6</v>
      </c>
      <c r="G159" s="11" t="s">
        <v>301</v>
      </c>
      <c r="H159" s="11" t="s">
        <v>302</v>
      </c>
    </row>
    <row r="160" customFormat="false" ht="15" hidden="false" customHeight="false" outlineLevel="0" collapsed="false">
      <c r="A160" s="14" t="n">
        <v>45816</v>
      </c>
      <c r="B160" s="10" t="n">
        <v>2025</v>
      </c>
      <c r="C160" s="10" t="n">
        <v>6</v>
      </c>
      <c r="D160" s="10" t="s">
        <v>311</v>
      </c>
      <c r="E160" s="10" t="s">
        <v>309</v>
      </c>
      <c r="F160" s="10" t="n">
        <v>7</v>
      </c>
      <c r="G160" s="10" t="s">
        <v>303</v>
      </c>
      <c r="H160" s="10" t="s">
        <v>302</v>
      </c>
    </row>
    <row r="161" customFormat="false" ht="15" hidden="false" customHeight="false" outlineLevel="0" collapsed="false">
      <c r="A161" s="15" t="n">
        <v>45817</v>
      </c>
      <c r="B161" s="11" t="n">
        <v>2025</v>
      </c>
      <c r="C161" s="11" t="n">
        <v>6</v>
      </c>
      <c r="D161" s="11" t="s">
        <v>311</v>
      </c>
      <c r="E161" s="11" t="s">
        <v>309</v>
      </c>
      <c r="F161" s="11" t="n">
        <v>1</v>
      </c>
      <c r="G161" s="11" t="s">
        <v>304</v>
      </c>
      <c r="H161" s="11" t="s">
        <v>298</v>
      </c>
    </row>
    <row r="162" customFormat="false" ht="15" hidden="false" customHeight="false" outlineLevel="0" collapsed="false">
      <c r="A162" s="14" t="n">
        <v>45818</v>
      </c>
      <c r="B162" s="10" t="n">
        <v>2025</v>
      </c>
      <c r="C162" s="10" t="n">
        <v>6</v>
      </c>
      <c r="D162" s="10" t="s">
        <v>311</v>
      </c>
      <c r="E162" s="10" t="s">
        <v>309</v>
      </c>
      <c r="F162" s="10" t="n">
        <v>2</v>
      </c>
      <c r="G162" s="10" t="s">
        <v>305</v>
      </c>
      <c r="H162" s="10" t="s">
        <v>298</v>
      </c>
    </row>
    <row r="163" customFormat="false" ht="15" hidden="false" customHeight="false" outlineLevel="0" collapsed="false">
      <c r="A163" s="15" t="n">
        <v>45819</v>
      </c>
      <c r="B163" s="11" t="n">
        <v>2025</v>
      </c>
      <c r="C163" s="11" t="n">
        <v>6</v>
      </c>
      <c r="D163" s="11" t="s">
        <v>311</v>
      </c>
      <c r="E163" s="11" t="s">
        <v>309</v>
      </c>
      <c r="F163" s="11" t="n">
        <v>3</v>
      </c>
      <c r="G163" s="11" t="s">
        <v>297</v>
      </c>
      <c r="H163" s="11" t="s">
        <v>298</v>
      </c>
    </row>
    <row r="164" customFormat="false" ht="15" hidden="false" customHeight="false" outlineLevel="0" collapsed="false">
      <c r="A164" s="14" t="n">
        <v>45820</v>
      </c>
      <c r="B164" s="10" t="n">
        <v>2025</v>
      </c>
      <c r="C164" s="10" t="n">
        <v>6</v>
      </c>
      <c r="D164" s="10" t="s">
        <v>311</v>
      </c>
      <c r="E164" s="10" t="s">
        <v>309</v>
      </c>
      <c r="F164" s="10" t="n">
        <v>4</v>
      </c>
      <c r="G164" s="10" t="s">
        <v>299</v>
      </c>
      <c r="H164" s="10" t="s">
        <v>298</v>
      </c>
    </row>
    <row r="165" customFormat="false" ht="15" hidden="false" customHeight="false" outlineLevel="0" collapsed="false">
      <c r="A165" s="15" t="n">
        <v>45821</v>
      </c>
      <c r="B165" s="11" t="n">
        <v>2025</v>
      </c>
      <c r="C165" s="11" t="n">
        <v>6</v>
      </c>
      <c r="D165" s="11" t="s">
        <v>311</v>
      </c>
      <c r="E165" s="11" t="s">
        <v>309</v>
      </c>
      <c r="F165" s="11" t="n">
        <v>5</v>
      </c>
      <c r="G165" s="11" t="s">
        <v>300</v>
      </c>
      <c r="H165" s="11" t="s">
        <v>298</v>
      </c>
    </row>
    <row r="166" customFormat="false" ht="15" hidden="false" customHeight="false" outlineLevel="0" collapsed="false">
      <c r="A166" s="14" t="n">
        <v>45822</v>
      </c>
      <c r="B166" s="10" t="n">
        <v>2025</v>
      </c>
      <c r="C166" s="10" t="n">
        <v>6</v>
      </c>
      <c r="D166" s="10" t="s">
        <v>311</v>
      </c>
      <c r="E166" s="10" t="s">
        <v>309</v>
      </c>
      <c r="F166" s="10" t="n">
        <v>6</v>
      </c>
      <c r="G166" s="10" t="s">
        <v>301</v>
      </c>
      <c r="H166" s="10" t="s">
        <v>302</v>
      </c>
    </row>
    <row r="167" customFormat="false" ht="15" hidden="false" customHeight="false" outlineLevel="0" collapsed="false">
      <c r="A167" s="15" t="n">
        <v>45823</v>
      </c>
      <c r="B167" s="11" t="n">
        <v>2025</v>
      </c>
      <c r="C167" s="11" t="n">
        <v>6</v>
      </c>
      <c r="D167" s="11" t="s">
        <v>311</v>
      </c>
      <c r="E167" s="11" t="s">
        <v>309</v>
      </c>
      <c r="F167" s="11" t="n">
        <v>7</v>
      </c>
      <c r="G167" s="11" t="s">
        <v>303</v>
      </c>
      <c r="H167" s="11" t="s">
        <v>302</v>
      </c>
    </row>
    <row r="168" customFormat="false" ht="15" hidden="false" customHeight="false" outlineLevel="0" collapsed="false">
      <c r="A168" s="14" t="n">
        <v>45824</v>
      </c>
      <c r="B168" s="10" t="n">
        <v>2025</v>
      </c>
      <c r="C168" s="10" t="n">
        <v>6</v>
      </c>
      <c r="D168" s="10" t="s">
        <v>311</v>
      </c>
      <c r="E168" s="10" t="s">
        <v>309</v>
      </c>
      <c r="F168" s="10" t="n">
        <v>1</v>
      </c>
      <c r="G168" s="10" t="s">
        <v>304</v>
      </c>
      <c r="H168" s="10" t="s">
        <v>298</v>
      </c>
    </row>
    <row r="169" customFormat="false" ht="15" hidden="false" customHeight="false" outlineLevel="0" collapsed="false">
      <c r="A169" s="15" t="n">
        <v>45825</v>
      </c>
      <c r="B169" s="11" t="n">
        <v>2025</v>
      </c>
      <c r="C169" s="11" t="n">
        <v>6</v>
      </c>
      <c r="D169" s="11" t="s">
        <v>311</v>
      </c>
      <c r="E169" s="11" t="s">
        <v>309</v>
      </c>
      <c r="F169" s="11" t="n">
        <v>2</v>
      </c>
      <c r="G169" s="11" t="s">
        <v>305</v>
      </c>
      <c r="H169" s="11" t="s">
        <v>298</v>
      </c>
    </row>
    <row r="170" customFormat="false" ht="15" hidden="false" customHeight="false" outlineLevel="0" collapsed="false">
      <c r="A170" s="14" t="n">
        <v>45826</v>
      </c>
      <c r="B170" s="10" t="n">
        <v>2025</v>
      </c>
      <c r="C170" s="10" t="n">
        <v>6</v>
      </c>
      <c r="D170" s="10" t="s">
        <v>311</v>
      </c>
      <c r="E170" s="10" t="s">
        <v>309</v>
      </c>
      <c r="F170" s="10" t="n">
        <v>3</v>
      </c>
      <c r="G170" s="10" t="s">
        <v>297</v>
      </c>
      <c r="H170" s="10" t="s">
        <v>298</v>
      </c>
    </row>
    <row r="171" customFormat="false" ht="15" hidden="false" customHeight="false" outlineLevel="0" collapsed="false">
      <c r="A171" s="15" t="n">
        <v>45827</v>
      </c>
      <c r="B171" s="11" t="n">
        <v>2025</v>
      </c>
      <c r="C171" s="11" t="n">
        <v>6</v>
      </c>
      <c r="D171" s="11" t="s">
        <v>311</v>
      </c>
      <c r="E171" s="11" t="s">
        <v>309</v>
      </c>
      <c r="F171" s="11" t="n">
        <v>4</v>
      </c>
      <c r="G171" s="11" t="s">
        <v>299</v>
      </c>
      <c r="H171" s="11" t="s">
        <v>298</v>
      </c>
    </row>
    <row r="172" customFormat="false" ht="15" hidden="false" customHeight="false" outlineLevel="0" collapsed="false">
      <c r="A172" s="14" t="n">
        <v>45828</v>
      </c>
      <c r="B172" s="10" t="n">
        <v>2025</v>
      </c>
      <c r="C172" s="10" t="n">
        <v>6</v>
      </c>
      <c r="D172" s="10" t="s">
        <v>311</v>
      </c>
      <c r="E172" s="10" t="s">
        <v>309</v>
      </c>
      <c r="F172" s="10" t="n">
        <v>5</v>
      </c>
      <c r="G172" s="10" t="s">
        <v>300</v>
      </c>
      <c r="H172" s="10" t="s">
        <v>298</v>
      </c>
    </row>
    <row r="173" customFormat="false" ht="15" hidden="false" customHeight="false" outlineLevel="0" collapsed="false">
      <c r="A173" s="15" t="n">
        <v>45829</v>
      </c>
      <c r="B173" s="11" t="n">
        <v>2025</v>
      </c>
      <c r="C173" s="11" t="n">
        <v>6</v>
      </c>
      <c r="D173" s="11" t="s">
        <v>311</v>
      </c>
      <c r="E173" s="11" t="s">
        <v>309</v>
      </c>
      <c r="F173" s="11" t="n">
        <v>6</v>
      </c>
      <c r="G173" s="11" t="s">
        <v>301</v>
      </c>
      <c r="H173" s="11" t="s">
        <v>302</v>
      </c>
    </row>
    <row r="174" customFormat="false" ht="15" hidden="false" customHeight="false" outlineLevel="0" collapsed="false">
      <c r="A174" s="14" t="n">
        <v>45830</v>
      </c>
      <c r="B174" s="10" t="n">
        <v>2025</v>
      </c>
      <c r="C174" s="10" t="n">
        <v>6</v>
      </c>
      <c r="D174" s="10" t="s">
        <v>311</v>
      </c>
      <c r="E174" s="10" t="s">
        <v>309</v>
      </c>
      <c r="F174" s="10" t="n">
        <v>7</v>
      </c>
      <c r="G174" s="10" t="s">
        <v>303</v>
      </c>
      <c r="H174" s="10" t="s">
        <v>302</v>
      </c>
    </row>
    <row r="175" customFormat="false" ht="15" hidden="false" customHeight="false" outlineLevel="0" collapsed="false">
      <c r="A175" s="15" t="n">
        <v>45831</v>
      </c>
      <c r="B175" s="11" t="n">
        <v>2025</v>
      </c>
      <c r="C175" s="11" t="n">
        <v>6</v>
      </c>
      <c r="D175" s="11" t="s">
        <v>311</v>
      </c>
      <c r="E175" s="11" t="s">
        <v>309</v>
      </c>
      <c r="F175" s="11" t="n">
        <v>1</v>
      </c>
      <c r="G175" s="11" t="s">
        <v>304</v>
      </c>
      <c r="H175" s="11" t="s">
        <v>298</v>
      </c>
    </row>
    <row r="176" customFormat="false" ht="15" hidden="false" customHeight="false" outlineLevel="0" collapsed="false">
      <c r="A176" s="14" t="n">
        <v>45832</v>
      </c>
      <c r="B176" s="10" t="n">
        <v>2025</v>
      </c>
      <c r="C176" s="10" t="n">
        <v>6</v>
      </c>
      <c r="D176" s="10" t="s">
        <v>311</v>
      </c>
      <c r="E176" s="10" t="s">
        <v>309</v>
      </c>
      <c r="F176" s="10" t="n">
        <v>2</v>
      </c>
      <c r="G176" s="10" t="s">
        <v>305</v>
      </c>
      <c r="H176" s="10" t="s">
        <v>298</v>
      </c>
    </row>
    <row r="177" customFormat="false" ht="15" hidden="false" customHeight="false" outlineLevel="0" collapsed="false">
      <c r="A177" s="15" t="n">
        <v>45833</v>
      </c>
      <c r="B177" s="11" t="n">
        <v>2025</v>
      </c>
      <c r="C177" s="11" t="n">
        <v>6</v>
      </c>
      <c r="D177" s="11" t="s">
        <v>311</v>
      </c>
      <c r="E177" s="11" t="s">
        <v>309</v>
      </c>
      <c r="F177" s="11" t="n">
        <v>3</v>
      </c>
      <c r="G177" s="11" t="s">
        <v>297</v>
      </c>
      <c r="H177" s="11" t="s">
        <v>298</v>
      </c>
    </row>
    <row r="178" customFormat="false" ht="15" hidden="false" customHeight="false" outlineLevel="0" collapsed="false">
      <c r="A178" s="14" t="n">
        <v>45834</v>
      </c>
      <c r="B178" s="10" t="n">
        <v>2025</v>
      </c>
      <c r="C178" s="10" t="n">
        <v>6</v>
      </c>
      <c r="D178" s="10" t="s">
        <v>311</v>
      </c>
      <c r="E178" s="10" t="s">
        <v>309</v>
      </c>
      <c r="F178" s="10" t="n">
        <v>4</v>
      </c>
      <c r="G178" s="10" t="s">
        <v>299</v>
      </c>
      <c r="H178" s="10" t="s">
        <v>298</v>
      </c>
    </row>
    <row r="179" customFormat="false" ht="15" hidden="false" customHeight="false" outlineLevel="0" collapsed="false">
      <c r="A179" s="15" t="n">
        <v>45835</v>
      </c>
      <c r="B179" s="11" t="n">
        <v>2025</v>
      </c>
      <c r="C179" s="11" t="n">
        <v>6</v>
      </c>
      <c r="D179" s="11" t="s">
        <v>311</v>
      </c>
      <c r="E179" s="11" t="s">
        <v>309</v>
      </c>
      <c r="F179" s="11" t="n">
        <v>5</v>
      </c>
      <c r="G179" s="11" t="s">
        <v>300</v>
      </c>
      <c r="H179" s="11" t="s">
        <v>298</v>
      </c>
    </row>
    <row r="180" customFormat="false" ht="15" hidden="false" customHeight="false" outlineLevel="0" collapsed="false">
      <c r="A180" s="14" t="n">
        <v>45836</v>
      </c>
      <c r="B180" s="10" t="n">
        <v>2025</v>
      </c>
      <c r="C180" s="10" t="n">
        <v>6</v>
      </c>
      <c r="D180" s="10" t="s">
        <v>311</v>
      </c>
      <c r="E180" s="10" t="s">
        <v>309</v>
      </c>
      <c r="F180" s="10" t="n">
        <v>6</v>
      </c>
      <c r="G180" s="10" t="s">
        <v>301</v>
      </c>
      <c r="H180" s="10" t="s">
        <v>302</v>
      </c>
    </row>
    <row r="181" customFormat="false" ht="15" hidden="false" customHeight="false" outlineLevel="0" collapsed="false">
      <c r="A181" s="15" t="n">
        <v>45837</v>
      </c>
      <c r="B181" s="11" t="n">
        <v>2025</v>
      </c>
      <c r="C181" s="11" t="n">
        <v>6</v>
      </c>
      <c r="D181" s="11" t="s">
        <v>311</v>
      </c>
      <c r="E181" s="11" t="s">
        <v>309</v>
      </c>
      <c r="F181" s="11" t="n">
        <v>7</v>
      </c>
      <c r="G181" s="11" t="s">
        <v>303</v>
      </c>
      <c r="H181" s="11" t="s">
        <v>302</v>
      </c>
    </row>
    <row r="182" customFormat="false" ht="15" hidden="false" customHeight="false" outlineLevel="0" collapsed="false">
      <c r="A182" s="14" t="n">
        <v>45838</v>
      </c>
      <c r="B182" s="10" t="n">
        <v>2025</v>
      </c>
      <c r="C182" s="10" t="n">
        <v>6</v>
      </c>
      <c r="D182" s="10" t="s">
        <v>311</v>
      </c>
      <c r="E182" s="10" t="s">
        <v>309</v>
      </c>
      <c r="F182" s="10" t="n">
        <v>1</v>
      </c>
      <c r="G182" s="10" t="s">
        <v>304</v>
      </c>
      <c r="H182" s="10" t="s">
        <v>298</v>
      </c>
    </row>
    <row r="183" customFormat="false" ht="15" hidden="false" customHeight="false" outlineLevel="0" collapsed="false">
      <c r="A183" s="15" t="n">
        <v>45839</v>
      </c>
      <c r="B183" s="11" t="n">
        <v>2025</v>
      </c>
      <c r="C183" s="11" t="n">
        <v>7</v>
      </c>
      <c r="D183" s="11" t="s">
        <v>312</v>
      </c>
      <c r="E183" s="11" t="s">
        <v>313</v>
      </c>
      <c r="F183" s="11" t="n">
        <v>2</v>
      </c>
      <c r="G183" s="11" t="s">
        <v>305</v>
      </c>
      <c r="H183" s="11" t="s">
        <v>298</v>
      </c>
    </row>
    <row r="184" customFormat="false" ht="15" hidden="false" customHeight="false" outlineLevel="0" collapsed="false">
      <c r="A184" s="14" t="n">
        <v>45840</v>
      </c>
      <c r="B184" s="10" t="n">
        <v>2025</v>
      </c>
      <c r="C184" s="10" t="n">
        <v>7</v>
      </c>
      <c r="D184" s="10" t="s">
        <v>312</v>
      </c>
      <c r="E184" s="10" t="s">
        <v>313</v>
      </c>
      <c r="F184" s="10" t="n">
        <v>3</v>
      </c>
      <c r="G184" s="10" t="s">
        <v>297</v>
      </c>
      <c r="H184" s="10" t="s">
        <v>298</v>
      </c>
    </row>
    <row r="185" customFormat="false" ht="15" hidden="false" customHeight="false" outlineLevel="0" collapsed="false">
      <c r="A185" s="15" t="n">
        <v>45841</v>
      </c>
      <c r="B185" s="11" t="n">
        <v>2025</v>
      </c>
      <c r="C185" s="11" t="n">
        <v>7</v>
      </c>
      <c r="D185" s="11" t="s">
        <v>312</v>
      </c>
      <c r="E185" s="11" t="s">
        <v>313</v>
      </c>
      <c r="F185" s="11" t="n">
        <v>4</v>
      </c>
      <c r="G185" s="11" t="s">
        <v>299</v>
      </c>
      <c r="H185" s="11" t="s">
        <v>298</v>
      </c>
    </row>
    <row r="186" customFormat="false" ht="15" hidden="false" customHeight="false" outlineLevel="0" collapsed="false">
      <c r="A186" s="14" t="n">
        <v>45842</v>
      </c>
      <c r="B186" s="10" t="n">
        <v>2025</v>
      </c>
      <c r="C186" s="10" t="n">
        <v>7</v>
      </c>
      <c r="D186" s="10" t="s">
        <v>312</v>
      </c>
      <c r="E186" s="10" t="s">
        <v>313</v>
      </c>
      <c r="F186" s="10" t="n">
        <v>5</v>
      </c>
      <c r="G186" s="10" t="s">
        <v>300</v>
      </c>
      <c r="H186" s="10" t="s">
        <v>298</v>
      </c>
    </row>
    <row r="187" customFormat="false" ht="15" hidden="false" customHeight="false" outlineLevel="0" collapsed="false">
      <c r="A187" s="15" t="n">
        <v>45843</v>
      </c>
      <c r="B187" s="11" t="n">
        <v>2025</v>
      </c>
      <c r="C187" s="11" t="n">
        <v>7</v>
      </c>
      <c r="D187" s="11" t="s">
        <v>312</v>
      </c>
      <c r="E187" s="11" t="s">
        <v>313</v>
      </c>
      <c r="F187" s="11" t="n">
        <v>6</v>
      </c>
      <c r="G187" s="11" t="s">
        <v>301</v>
      </c>
      <c r="H187" s="11" t="s">
        <v>302</v>
      </c>
    </row>
    <row r="188" customFormat="false" ht="15" hidden="false" customHeight="false" outlineLevel="0" collapsed="false">
      <c r="A188" s="14" t="n">
        <v>45844</v>
      </c>
      <c r="B188" s="10" t="n">
        <v>2025</v>
      </c>
      <c r="C188" s="10" t="n">
        <v>7</v>
      </c>
      <c r="D188" s="10" t="s">
        <v>312</v>
      </c>
      <c r="E188" s="10" t="s">
        <v>313</v>
      </c>
      <c r="F188" s="10" t="n">
        <v>7</v>
      </c>
      <c r="G188" s="10" t="s">
        <v>303</v>
      </c>
      <c r="H188" s="10" t="s">
        <v>302</v>
      </c>
    </row>
    <row r="189" customFormat="false" ht="15" hidden="false" customHeight="false" outlineLevel="0" collapsed="false">
      <c r="A189" s="15" t="n">
        <v>45845</v>
      </c>
      <c r="B189" s="11" t="n">
        <v>2025</v>
      </c>
      <c r="C189" s="11" t="n">
        <v>7</v>
      </c>
      <c r="D189" s="11" t="s">
        <v>312</v>
      </c>
      <c r="E189" s="11" t="s">
        <v>313</v>
      </c>
      <c r="F189" s="11" t="n">
        <v>1</v>
      </c>
      <c r="G189" s="11" t="s">
        <v>304</v>
      </c>
      <c r="H189" s="11" t="s">
        <v>298</v>
      </c>
    </row>
    <row r="190" customFormat="false" ht="15" hidden="false" customHeight="false" outlineLevel="0" collapsed="false">
      <c r="A190" s="14" t="n">
        <v>45846</v>
      </c>
      <c r="B190" s="10" t="n">
        <v>2025</v>
      </c>
      <c r="C190" s="10" t="n">
        <v>7</v>
      </c>
      <c r="D190" s="10" t="s">
        <v>312</v>
      </c>
      <c r="E190" s="10" t="s">
        <v>313</v>
      </c>
      <c r="F190" s="10" t="n">
        <v>2</v>
      </c>
      <c r="G190" s="10" t="s">
        <v>305</v>
      </c>
      <c r="H190" s="10" t="s">
        <v>298</v>
      </c>
    </row>
    <row r="191" customFormat="false" ht="15" hidden="false" customHeight="false" outlineLevel="0" collapsed="false">
      <c r="A191" s="15" t="n">
        <v>45847</v>
      </c>
      <c r="B191" s="11" t="n">
        <v>2025</v>
      </c>
      <c r="C191" s="11" t="n">
        <v>7</v>
      </c>
      <c r="D191" s="11" t="s">
        <v>312</v>
      </c>
      <c r="E191" s="11" t="s">
        <v>313</v>
      </c>
      <c r="F191" s="11" t="n">
        <v>3</v>
      </c>
      <c r="G191" s="11" t="s">
        <v>297</v>
      </c>
      <c r="H191" s="11" t="s">
        <v>298</v>
      </c>
    </row>
    <row r="192" customFormat="false" ht="15" hidden="false" customHeight="false" outlineLevel="0" collapsed="false">
      <c r="A192" s="14" t="n">
        <v>45848</v>
      </c>
      <c r="B192" s="10" t="n">
        <v>2025</v>
      </c>
      <c r="C192" s="10" t="n">
        <v>7</v>
      </c>
      <c r="D192" s="10" t="s">
        <v>312</v>
      </c>
      <c r="E192" s="10" t="s">
        <v>313</v>
      </c>
      <c r="F192" s="10" t="n">
        <v>4</v>
      </c>
      <c r="G192" s="10" t="s">
        <v>299</v>
      </c>
      <c r="H192" s="10" t="s">
        <v>298</v>
      </c>
    </row>
    <row r="193" customFormat="false" ht="15" hidden="false" customHeight="false" outlineLevel="0" collapsed="false">
      <c r="A193" s="15" t="n">
        <v>45849</v>
      </c>
      <c r="B193" s="11" t="n">
        <v>2025</v>
      </c>
      <c r="C193" s="11" t="n">
        <v>7</v>
      </c>
      <c r="D193" s="11" t="s">
        <v>312</v>
      </c>
      <c r="E193" s="11" t="s">
        <v>313</v>
      </c>
      <c r="F193" s="11" t="n">
        <v>5</v>
      </c>
      <c r="G193" s="11" t="s">
        <v>300</v>
      </c>
      <c r="H193" s="11" t="s">
        <v>298</v>
      </c>
    </row>
    <row r="194" customFormat="false" ht="15" hidden="false" customHeight="false" outlineLevel="0" collapsed="false">
      <c r="A194" s="14" t="n">
        <v>45850</v>
      </c>
      <c r="B194" s="10" t="n">
        <v>2025</v>
      </c>
      <c r="C194" s="10" t="n">
        <v>7</v>
      </c>
      <c r="D194" s="10" t="s">
        <v>312</v>
      </c>
      <c r="E194" s="10" t="s">
        <v>313</v>
      </c>
      <c r="F194" s="10" t="n">
        <v>6</v>
      </c>
      <c r="G194" s="10" t="s">
        <v>301</v>
      </c>
      <c r="H194" s="10" t="s">
        <v>302</v>
      </c>
    </row>
    <row r="195" customFormat="false" ht="15" hidden="false" customHeight="false" outlineLevel="0" collapsed="false">
      <c r="A195" s="15" t="n">
        <v>45851</v>
      </c>
      <c r="B195" s="11" t="n">
        <v>2025</v>
      </c>
      <c r="C195" s="11" t="n">
        <v>7</v>
      </c>
      <c r="D195" s="11" t="s">
        <v>312</v>
      </c>
      <c r="E195" s="11" t="s">
        <v>313</v>
      </c>
      <c r="F195" s="11" t="n">
        <v>7</v>
      </c>
      <c r="G195" s="11" t="s">
        <v>303</v>
      </c>
      <c r="H195" s="11" t="s">
        <v>302</v>
      </c>
    </row>
    <row r="196" customFormat="false" ht="15" hidden="false" customHeight="false" outlineLevel="0" collapsed="false">
      <c r="A196" s="14" t="n">
        <v>45852</v>
      </c>
      <c r="B196" s="10" t="n">
        <v>2025</v>
      </c>
      <c r="C196" s="10" t="n">
        <v>7</v>
      </c>
      <c r="D196" s="10" t="s">
        <v>312</v>
      </c>
      <c r="E196" s="10" t="s">
        <v>313</v>
      </c>
      <c r="F196" s="10" t="n">
        <v>1</v>
      </c>
      <c r="G196" s="10" t="s">
        <v>304</v>
      </c>
      <c r="H196" s="10" t="s">
        <v>298</v>
      </c>
    </row>
    <row r="197" customFormat="false" ht="15" hidden="false" customHeight="false" outlineLevel="0" collapsed="false">
      <c r="A197" s="15" t="n">
        <v>45853</v>
      </c>
      <c r="B197" s="11" t="n">
        <v>2025</v>
      </c>
      <c r="C197" s="11" t="n">
        <v>7</v>
      </c>
      <c r="D197" s="11" t="s">
        <v>312</v>
      </c>
      <c r="E197" s="11" t="s">
        <v>313</v>
      </c>
      <c r="F197" s="11" t="n">
        <v>2</v>
      </c>
      <c r="G197" s="11" t="s">
        <v>305</v>
      </c>
      <c r="H197" s="11" t="s">
        <v>298</v>
      </c>
    </row>
    <row r="198" customFormat="false" ht="15" hidden="false" customHeight="false" outlineLevel="0" collapsed="false">
      <c r="A198" s="14" t="n">
        <v>45854</v>
      </c>
      <c r="B198" s="10" t="n">
        <v>2025</v>
      </c>
      <c r="C198" s="10" t="n">
        <v>7</v>
      </c>
      <c r="D198" s="10" t="s">
        <v>312</v>
      </c>
      <c r="E198" s="10" t="s">
        <v>313</v>
      </c>
      <c r="F198" s="10" t="n">
        <v>3</v>
      </c>
      <c r="G198" s="10" t="s">
        <v>297</v>
      </c>
      <c r="H198" s="10" t="s">
        <v>298</v>
      </c>
    </row>
    <row r="199" customFormat="false" ht="15" hidden="false" customHeight="false" outlineLevel="0" collapsed="false">
      <c r="A199" s="15" t="n">
        <v>45855</v>
      </c>
      <c r="B199" s="11" t="n">
        <v>2025</v>
      </c>
      <c r="C199" s="11" t="n">
        <v>7</v>
      </c>
      <c r="D199" s="11" t="s">
        <v>312</v>
      </c>
      <c r="E199" s="11" t="s">
        <v>313</v>
      </c>
      <c r="F199" s="11" t="n">
        <v>4</v>
      </c>
      <c r="G199" s="11" t="s">
        <v>299</v>
      </c>
      <c r="H199" s="11" t="s">
        <v>298</v>
      </c>
    </row>
    <row r="200" customFormat="false" ht="15" hidden="false" customHeight="false" outlineLevel="0" collapsed="false">
      <c r="A200" s="14" t="n">
        <v>45856</v>
      </c>
      <c r="B200" s="10" t="n">
        <v>2025</v>
      </c>
      <c r="C200" s="10" t="n">
        <v>7</v>
      </c>
      <c r="D200" s="10" t="s">
        <v>312</v>
      </c>
      <c r="E200" s="10" t="s">
        <v>313</v>
      </c>
      <c r="F200" s="10" t="n">
        <v>5</v>
      </c>
      <c r="G200" s="10" t="s">
        <v>300</v>
      </c>
      <c r="H200" s="10" t="s">
        <v>298</v>
      </c>
    </row>
    <row r="201" customFormat="false" ht="15" hidden="false" customHeight="false" outlineLevel="0" collapsed="false">
      <c r="A201" s="15" t="n">
        <v>45857</v>
      </c>
      <c r="B201" s="11" t="n">
        <v>2025</v>
      </c>
      <c r="C201" s="11" t="n">
        <v>7</v>
      </c>
      <c r="D201" s="11" t="s">
        <v>312</v>
      </c>
      <c r="E201" s="11" t="s">
        <v>313</v>
      </c>
      <c r="F201" s="11" t="n">
        <v>6</v>
      </c>
      <c r="G201" s="11" t="s">
        <v>301</v>
      </c>
      <c r="H201" s="11" t="s">
        <v>302</v>
      </c>
    </row>
    <row r="202" customFormat="false" ht="15" hidden="false" customHeight="false" outlineLevel="0" collapsed="false">
      <c r="A202" s="14" t="n">
        <v>45858</v>
      </c>
      <c r="B202" s="10" t="n">
        <v>2025</v>
      </c>
      <c r="C202" s="10" t="n">
        <v>7</v>
      </c>
      <c r="D202" s="10" t="s">
        <v>312</v>
      </c>
      <c r="E202" s="10" t="s">
        <v>313</v>
      </c>
      <c r="F202" s="10" t="n">
        <v>7</v>
      </c>
      <c r="G202" s="10" t="s">
        <v>303</v>
      </c>
      <c r="H202" s="10" t="s">
        <v>302</v>
      </c>
    </row>
    <row r="203" customFormat="false" ht="15" hidden="false" customHeight="false" outlineLevel="0" collapsed="false">
      <c r="A203" s="15" t="n">
        <v>45859</v>
      </c>
      <c r="B203" s="11" t="n">
        <v>2025</v>
      </c>
      <c r="C203" s="11" t="n">
        <v>7</v>
      </c>
      <c r="D203" s="11" t="s">
        <v>312</v>
      </c>
      <c r="E203" s="11" t="s">
        <v>313</v>
      </c>
      <c r="F203" s="11" t="n">
        <v>1</v>
      </c>
      <c r="G203" s="11" t="s">
        <v>304</v>
      </c>
      <c r="H203" s="11" t="s">
        <v>298</v>
      </c>
    </row>
    <row r="204" customFormat="false" ht="15" hidden="false" customHeight="false" outlineLevel="0" collapsed="false">
      <c r="A204" s="14" t="n">
        <v>45860</v>
      </c>
      <c r="B204" s="10" t="n">
        <v>2025</v>
      </c>
      <c r="C204" s="10" t="n">
        <v>7</v>
      </c>
      <c r="D204" s="10" t="s">
        <v>312</v>
      </c>
      <c r="E204" s="10" t="s">
        <v>313</v>
      </c>
      <c r="F204" s="10" t="n">
        <v>2</v>
      </c>
      <c r="G204" s="10" t="s">
        <v>305</v>
      </c>
      <c r="H204" s="10" t="s">
        <v>298</v>
      </c>
    </row>
    <row r="205" customFormat="false" ht="15" hidden="false" customHeight="false" outlineLevel="0" collapsed="false">
      <c r="A205" s="15" t="n">
        <v>45861</v>
      </c>
      <c r="B205" s="11" t="n">
        <v>2025</v>
      </c>
      <c r="C205" s="11" t="n">
        <v>7</v>
      </c>
      <c r="D205" s="11" t="s">
        <v>312</v>
      </c>
      <c r="E205" s="11" t="s">
        <v>313</v>
      </c>
      <c r="F205" s="11" t="n">
        <v>3</v>
      </c>
      <c r="G205" s="11" t="s">
        <v>297</v>
      </c>
      <c r="H205" s="11" t="s">
        <v>298</v>
      </c>
    </row>
    <row r="206" customFormat="false" ht="15" hidden="false" customHeight="false" outlineLevel="0" collapsed="false">
      <c r="A206" s="14" t="n">
        <v>45862</v>
      </c>
      <c r="B206" s="10" t="n">
        <v>2025</v>
      </c>
      <c r="C206" s="10" t="n">
        <v>7</v>
      </c>
      <c r="D206" s="10" t="s">
        <v>312</v>
      </c>
      <c r="E206" s="10" t="s">
        <v>313</v>
      </c>
      <c r="F206" s="10" t="n">
        <v>4</v>
      </c>
      <c r="G206" s="10" t="s">
        <v>299</v>
      </c>
      <c r="H206" s="10" t="s">
        <v>298</v>
      </c>
    </row>
    <row r="207" customFormat="false" ht="15" hidden="false" customHeight="false" outlineLevel="0" collapsed="false">
      <c r="A207" s="15" t="n">
        <v>45863</v>
      </c>
      <c r="B207" s="11" t="n">
        <v>2025</v>
      </c>
      <c r="C207" s="11" t="n">
        <v>7</v>
      </c>
      <c r="D207" s="11" t="s">
        <v>312</v>
      </c>
      <c r="E207" s="11" t="s">
        <v>313</v>
      </c>
      <c r="F207" s="11" t="n">
        <v>5</v>
      </c>
      <c r="G207" s="11" t="s">
        <v>300</v>
      </c>
      <c r="H207" s="11" t="s">
        <v>298</v>
      </c>
    </row>
    <row r="208" customFormat="false" ht="15" hidden="false" customHeight="false" outlineLevel="0" collapsed="false">
      <c r="A208" s="14" t="n">
        <v>45864</v>
      </c>
      <c r="B208" s="10" t="n">
        <v>2025</v>
      </c>
      <c r="C208" s="10" t="n">
        <v>7</v>
      </c>
      <c r="D208" s="10" t="s">
        <v>312</v>
      </c>
      <c r="E208" s="10" t="s">
        <v>313</v>
      </c>
      <c r="F208" s="10" t="n">
        <v>6</v>
      </c>
      <c r="G208" s="10" t="s">
        <v>301</v>
      </c>
      <c r="H208" s="10" t="s">
        <v>302</v>
      </c>
    </row>
    <row r="209" customFormat="false" ht="15" hidden="false" customHeight="false" outlineLevel="0" collapsed="false">
      <c r="A209" s="15" t="n">
        <v>45865</v>
      </c>
      <c r="B209" s="11" t="n">
        <v>2025</v>
      </c>
      <c r="C209" s="11" t="n">
        <v>7</v>
      </c>
      <c r="D209" s="11" t="s">
        <v>312</v>
      </c>
      <c r="E209" s="11" t="s">
        <v>313</v>
      </c>
      <c r="F209" s="11" t="n">
        <v>7</v>
      </c>
      <c r="G209" s="11" t="s">
        <v>303</v>
      </c>
      <c r="H209" s="11" t="s">
        <v>302</v>
      </c>
    </row>
    <row r="210" customFormat="false" ht="15" hidden="false" customHeight="false" outlineLevel="0" collapsed="false">
      <c r="A210" s="14" t="n">
        <v>45866</v>
      </c>
      <c r="B210" s="10" t="n">
        <v>2025</v>
      </c>
      <c r="C210" s="10" t="n">
        <v>7</v>
      </c>
      <c r="D210" s="10" t="s">
        <v>312</v>
      </c>
      <c r="E210" s="10" t="s">
        <v>313</v>
      </c>
      <c r="F210" s="10" t="n">
        <v>1</v>
      </c>
      <c r="G210" s="10" t="s">
        <v>304</v>
      </c>
      <c r="H210" s="10" t="s">
        <v>298</v>
      </c>
    </row>
    <row r="211" customFormat="false" ht="15" hidden="false" customHeight="false" outlineLevel="0" collapsed="false">
      <c r="A211" s="15" t="n">
        <v>45867</v>
      </c>
      <c r="B211" s="11" t="n">
        <v>2025</v>
      </c>
      <c r="C211" s="11" t="n">
        <v>7</v>
      </c>
      <c r="D211" s="11" t="s">
        <v>312</v>
      </c>
      <c r="E211" s="11" t="s">
        <v>313</v>
      </c>
      <c r="F211" s="11" t="n">
        <v>2</v>
      </c>
      <c r="G211" s="11" t="s">
        <v>305</v>
      </c>
      <c r="H211" s="11" t="s">
        <v>298</v>
      </c>
    </row>
    <row r="212" customFormat="false" ht="15" hidden="false" customHeight="false" outlineLevel="0" collapsed="false">
      <c r="A212" s="14" t="n">
        <v>45868</v>
      </c>
      <c r="B212" s="10" t="n">
        <v>2025</v>
      </c>
      <c r="C212" s="10" t="n">
        <v>7</v>
      </c>
      <c r="D212" s="10" t="s">
        <v>312</v>
      </c>
      <c r="E212" s="10" t="s">
        <v>313</v>
      </c>
      <c r="F212" s="10" t="n">
        <v>3</v>
      </c>
      <c r="G212" s="10" t="s">
        <v>297</v>
      </c>
      <c r="H212" s="10" t="s">
        <v>298</v>
      </c>
    </row>
    <row r="213" customFormat="false" ht="15" hidden="false" customHeight="false" outlineLevel="0" collapsed="false">
      <c r="A213" s="15" t="n">
        <v>45869</v>
      </c>
      <c r="B213" s="11" t="n">
        <v>2025</v>
      </c>
      <c r="C213" s="11" t="n">
        <v>7</v>
      </c>
      <c r="D213" s="11" t="s">
        <v>312</v>
      </c>
      <c r="E213" s="11" t="s">
        <v>313</v>
      </c>
      <c r="F213" s="11" t="n">
        <v>4</v>
      </c>
      <c r="G213" s="11" t="s">
        <v>299</v>
      </c>
      <c r="H213" s="11" t="s">
        <v>298</v>
      </c>
    </row>
    <row r="214" customFormat="false" ht="15" hidden="false" customHeight="false" outlineLevel="0" collapsed="false">
      <c r="A214" s="14" t="n">
        <v>45870</v>
      </c>
      <c r="B214" s="10" t="n">
        <v>2025</v>
      </c>
      <c r="C214" s="10" t="n">
        <v>8</v>
      </c>
      <c r="D214" s="10" t="s">
        <v>314</v>
      </c>
      <c r="E214" s="10" t="s">
        <v>313</v>
      </c>
      <c r="F214" s="10" t="n">
        <v>5</v>
      </c>
      <c r="G214" s="10" t="s">
        <v>300</v>
      </c>
      <c r="H214" s="10" t="s">
        <v>298</v>
      </c>
    </row>
    <row r="215" customFormat="false" ht="15" hidden="false" customHeight="false" outlineLevel="0" collapsed="false">
      <c r="A215" s="15" t="n">
        <v>45871</v>
      </c>
      <c r="B215" s="11" t="n">
        <v>2025</v>
      </c>
      <c r="C215" s="11" t="n">
        <v>8</v>
      </c>
      <c r="D215" s="11" t="s">
        <v>314</v>
      </c>
      <c r="E215" s="11" t="s">
        <v>313</v>
      </c>
      <c r="F215" s="11" t="n">
        <v>6</v>
      </c>
      <c r="G215" s="11" t="s">
        <v>301</v>
      </c>
      <c r="H215" s="11" t="s">
        <v>302</v>
      </c>
    </row>
    <row r="216" customFormat="false" ht="15" hidden="false" customHeight="false" outlineLevel="0" collapsed="false">
      <c r="A216" s="14" t="n">
        <v>45872</v>
      </c>
      <c r="B216" s="10" t="n">
        <v>2025</v>
      </c>
      <c r="C216" s="10" t="n">
        <v>8</v>
      </c>
      <c r="D216" s="10" t="s">
        <v>314</v>
      </c>
      <c r="E216" s="10" t="s">
        <v>313</v>
      </c>
      <c r="F216" s="10" t="n">
        <v>7</v>
      </c>
      <c r="G216" s="10" t="s">
        <v>303</v>
      </c>
      <c r="H216" s="10" t="s">
        <v>302</v>
      </c>
    </row>
    <row r="217" customFormat="false" ht="15" hidden="false" customHeight="false" outlineLevel="0" collapsed="false">
      <c r="A217" s="15" t="n">
        <v>45873</v>
      </c>
      <c r="B217" s="11" t="n">
        <v>2025</v>
      </c>
      <c r="C217" s="11" t="n">
        <v>8</v>
      </c>
      <c r="D217" s="11" t="s">
        <v>314</v>
      </c>
      <c r="E217" s="11" t="s">
        <v>313</v>
      </c>
      <c r="F217" s="11" t="n">
        <v>1</v>
      </c>
      <c r="G217" s="11" t="s">
        <v>304</v>
      </c>
      <c r="H217" s="11" t="s">
        <v>298</v>
      </c>
    </row>
    <row r="218" customFormat="false" ht="15" hidden="false" customHeight="false" outlineLevel="0" collapsed="false">
      <c r="A218" s="14" t="n">
        <v>45874</v>
      </c>
      <c r="B218" s="10" t="n">
        <v>2025</v>
      </c>
      <c r="C218" s="10" t="n">
        <v>8</v>
      </c>
      <c r="D218" s="10" t="s">
        <v>314</v>
      </c>
      <c r="E218" s="10" t="s">
        <v>313</v>
      </c>
      <c r="F218" s="10" t="n">
        <v>2</v>
      </c>
      <c r="G218" s="10" t="s">
        <v>305</v>
      </c>
      <c r="H218" s="10" t="s">
        <v>298</v>
      </c>
    </row>
    <row r="219" customFormat="false" ht="15" hidden="false" customHeight="false" outlineLevel="0" collapsed="false">
      <c r="A219" s="15" t="n">
        <v>45875</v>
      </c>
      <c r="B219" s="11" t="n">
        <v>2025</v>
      </c>
      <c r="C219" s="11" t="n">
        <v>8</v>
      </c>
      <c r="D219" s="11" t="s">
        <v>314</v>
      </c>
      <c r="E219" s="11" t="s">
        <v>313</v>
      </c>
      <c r="F219" s="11" t="n">
        <v>3</v>
      </c>
      <c r="G219" s="11" t="s">
        <v>297</v>
      </c>
      <c r="H219" s="11" t="s">
        <v>298</v>
      </c>
    </row>
    <row r="220" customFormat="false" ht="15" hidden="false" customHeight="false" outlineLevel="0" collapsed="false">
      <c r="A220" s="14" t="n">
        <v>45876</v>
      </c>
      <c r="B220" s="10" t="n">
        <v>2025</v>
      </c>
      <c r="C220" s="10" t="n">
        <v>8</v>
      </c>
      <c r="D220" s="10" t="s">
        <v>314</v>
      </c>
      <c r="E220" s="10" t="s">
        <v>313</v>
      </c>
      <c r="F220" s="10" t="n">
        <v>4</v>
      </c>
      <c r="G220" s="10" t="s">
        <v>299</v>
      </c>
      <c r="H220" s="10" t="s">
        <v>298</v>
      </c>
    </row>
    <row r="221" customFormat="false" ht="15" hidden="false" customHeight="false" outlineLevel="0" collapsed="false">
      <c r="A221" s="15" t="n">
        <v>45877</v>
      </c>
      <c r="B221" s="11" t="n">
        <v>2025</v>
      </c>
      <c r="C221" s="11" t="n">
        <v>8</v>
      </c>
      <c r="D221" s="11" t="s">
        <v>314</v>
      </c>
      <c r="E221" s="11" t="s">
        <v>313</v>
      </c>
      <c r="F221" s="11" t="n">
        <v>5</v>
      </c>
      <c r="G221" s="11" t="s">
        <v>300</v>
      </c>
      <c r="H221" s="11" t="s">
        <v>298</v>
      </c>
    </row>
    <row r="222" customFormat="false" ht="15" hidden="false" customHeight="false" outlineLevel="0" collapsed="false">
      <c r="A222" s="14" t="n">
        <v>45878</v>
      </c>
      <c r="B222" s="10" t="n">
        <v>2025</v>
      </c>
      <c r="C222" s="10" t="n">
        <v>8</v>
      </c>
      <c r="D222" s="10" t="s">
        <v>314</v>
      </c>
      <c r="E222" s="10" t="s">
        <v>313</v>
      </c>
      <c r="F222" s="10" t="n">
        <v>6</v>
      </c>
      <c r="G222" s="10" t="s">
        <v>301</v>
      </c>
      <c r="H222" s="10" t="s">
        <v>302</v>
      </c>
    </row>
    <row r="223" customFormat="false" ht="15" hidden="false" customHeight="false" outlineLevel="0" collapsed="false">
      <c r="A223" s="15" t="n">
        <v>45879</v>
      </c>
      <c r="B223" s="11" t="n">
        <v>2025</v>
      </c>
      <c r="C223" s="11" t="n">
        <v>8</v>
      </c>
      <c r="D223" s="11" t="s">
        <v>314</v>
      </c>
      <c r="E223" s="11" t="s">
        <v>313</v>
      </c>
      <c r="F223" s="11" t="n">
        <v>7</v>
      </c>
      <c r="G223" s="11" t="s">
        <v>303</v>
      </c>
      <c r="H223" s="11" t="s">
        <v>302</v>
      </c>
    </row>
    <row r="224" customFormat="false" ht="15" hidden="false" customHeight="false" outlineLevel="0" collapsed="false">
      <c r="A224" s="14" t="n">
        <v>45880</v>
      </c>
      <c r="B224" s="10" t="n">
        <v>2025</v>
      </c>
      <c r="C224" s="10" t="n">
        <v>8</v>
      </c>
      <c r="D224" s="10" t="s">
        <v>314</v>
      </c>
      <c r="E224" s="10" t="s">
        <v>313</v>
      </c>
      <c r="F224" s="10" t="n">
        <v>1</v>
      </c>
      <c r="G224" s="10" t="s">
        <v>304</v>
      </c>
      <c r="H224" s="10" t="s">
        <v>298</v>
      </c>
    </row>
    <row r="225" customFormat="false" ht="15" hidden="false" customHeight="false" outlineLevel="0" collapsed="false">
      <c r="A225" s="15" t="n">
        <v>45881</v>
      </c>
      <c r="B225" s="11" t="n">
        <v>2025</v>
      </c>
      <c r="C225" s="11" t="n">
        <v>8</v>
      </c>
      <c r="D225" s="11" t="s">
        <v>314</v>
      </c>
      <c r="E225" s="11" t="s">
        <v>313</v>
      </c>
      <c r="F225" s="11" t="n">
        <v>2</v>
      </c>
      <c r="G225" s="11" t="s">
        <v>305</v>
      </c>
      <c r="H225" s="11" t="s">
        <v>298</v>
      </c>
    </row>
    <row r="226" customFormat="false" ht="15" hidden="false" customHeight="false" outlineLevel="0" collapsed="false">
      <c r="A226" s="14" t="n">
        <v>45882</v>
      </c>
      <c r="B226" s="10" t="n">
        <v>2025</v>
      </c>
      <c r="C226" s="10" t="n">
        <v>8</v>
      </c>
      <c r="D226" s="10" t="s">
        <v>314</v>
      </c>
      <c r="E226" s="10" t="s">
        <v>313</v>
      </c>
      <c r="F226" s="10" t="n">
        <v>3</v>
      </c>
      <c r="G226" s="10" t="s">
        <v>297</v>
      </c>
      <c r="H226" s="10" t="s">
        <v>298</v>
      </c>
    </row>
    <row r="227" customFormat="false" ht="15" hidden="false" customHeight="false" outlineLevel="0" collapsed="false">
      <c r="A227" s="15" t="n">
        <v>45883</v>
      </c>
      <c r="B227" s="11" t="n">
        <v>2025</v>
      </c>
      <c r="C227" s="11" t="n">
        <v>8</v>
      </c>
      <c r="D227" s="11" t="s">
        <v>314</v>
      </c>
      <c r="E227" s="11" t="s">
        <v>313</v>
      </c>
      <c r="F227" s="11" t="n">
        <v>4</v>
      </c>
      <c r="G227" s="11" t="s">
        <v>299</v>
      </c>
      <c r="H227" s="11" t="s">
        <v>298</v>
      </c>
    </row>
    <row r="228" customFormat="false" ht="15" hidden="false" customHeight="false" outlineLevel="0" collapsed="false">
      <c r="A228" s="14" t="n">
        <v>45884</v>
      </c>
      <c r="B228" s="10" t="n">
        <v>2025</v>
      </c>
      <c r="C228" s="10" t="n">
        <v>8</v>
      </c>
      <c r="D228" s="10" t="s">
        <v>314</v>
      </c>
      <c r="E228" s="10" t="s">
        <v>313</v>
      </c>
      <c r="F228" s="10" t="n">
        <v>5</v>
      </c>
      <c r="G228" s="10" t="s">
        <v>300</v>
      </c>
      <c r="H228" s="10" t="s">
        <v>298</v>
      </c>
    </row>
    <row r="229" customFormat="false" ht="15" hidden="false" customHeight="false" outlineLevel="0" collapsed="false">
      <c r="A229" s="15" t="n">
        <v>45885</v>
      </c>
      <c r="B229" s="11" t="n">
        <v>2025</v>
      </c>
      <c r="C229" s="11" t="n">
        <v>8</v>
      </c>
      <c r="D229" s="11" t="s">
        <v>314</v>
      </c>
      <c r="E229" s="11" t="s">
        <v>313</v>
      </c>
      <c r="F229" s="11" t="n">
        <v>6</v>
      </c>
      <c r="G229" s="11" t="s">
        <v>301</v>
      </c>
      <c r="H229" s="11" t="s">
        <v>302</v>
      </c>
    </row>
    <row r="230" customFormat="false" ht="15" hidden="false" customHeight="false" outlineLevel="0" collapsed="false">
      <c r="A230" s="14" t="n">
        <v>45886</v>
      </c>
      <c r="B230" s="10" t="n">
        <v>2025</v>
      </c>
      <c r="C230" s="10" t="n">
        <v>8</v>
      </c>
      <c r="D230" s="10" t="s">
        <v>314</v>
      </c>
      <c r="E230" s="10" t="s">
        <v>313</v>
      </c>
      <c r="F230" s="10" t="n">
        <v>7</v>
      </c>
      <c r="G230" s="10" t="s">
        <v>303</v>
      </c>
      <c r="H230" s="10" t="s">
        <v>302</v>
      </c>
    </row>
    <row r="231" customFormat="false" ht="15" hidden="false" customHeight="false" outlineLevel="0" collapsed="false">
      <c r="A231" s="15" t="n">
        <v>45887</v>
      </c>
      <c r="B231" s="11" t="n">
        <v>2025</v>
      </c>
      <c r="C231" s="11" t="n">
        <v>8</v>
      </c>
      <c r="D231" s="11" t="s">
        <v>314</v>
      </c>
      <c r="E231" s="11" t="s">
        <v>313</v>
      </c>
      <c r="F231" s="11" t="n">
        <v>1</v>
      </c>
      <c r="G231" s="11" t="s">
        <v>304</v>
      </c>
      <c r="H231" s="11" t="s">
        <v>298</v>
      </c>
    </row>
    <row r="232" customFormat="false" ht="15" hidden="false" customHeight="false" outlineLevel="0" collapsed="false">
      <c r="A232" s="14" t="n">
        <v>45888</v>
      </c>
      <c r="B232" s="10" t="n">
        <v>2025</v>
      </c>
      <c r="C232" s="10" t="n">
        <v>8</v>
      </c>
      <c r="D232" s="10" t="s">
        <v>314</v>
      </c>
      <c r="E232" s="10" t="s">
        <v>313</v>
      </c>
      <c r="F232" s="10" t="n">
        <v>2</v>
      </c>
      <c r="G232" s="10" t="s">
        <v>305</v>
      </c>
      <c r="H232" s="10" t="s">
        <v>298</v>
      </c>
    </row>
    <row r="233" customFormat="false" ht="15" hidden="false" customHeight="false" outlineLevel="0" collapsed="false">
      <c r="A233" s="15" t="n">
        <v>45889</v>
      </c>
      <c r="B233" s="11" t="n">
        <v>2025</v>
      </c>
      <c r="C233" s="11" t="n">
        <v>8</v>
      </c>
      <c r="D233" s="11" t="s">
        <v>314</v>
      </c>
      <c r="E233" s="11" t="s">
        <v>313</v>
      </c>
      <c r="F233" s="11" t="n">
        <v>3</v>
      </c>
      <c r="G233" s="11" t="s">
        <v>297</v>
      </c>
      <c r="H233" s="11" t="s">
        <v>298</v>
      </c>
    </row>
    <row r="234" customFormat="false" ht="15" hidden="false" customHeight="false" outlineLevel="0" collapsed="false">
      <c r="A234" s="14" t="n">
        <v>45890</v>
      </c>
      <c r="B234" s="10" t="n">
        <v>2025</v>
      </c>
      <c r="C234" s="10" t="n">
        <v>8</v>
      </c>
      <c r="D234" s="10" t="s">
        <v>314</v>
      </c>
      <c r="E234" s="10" t="s">
        <v>313</v>
      </c>
      <c r="F234" s="10" t="n">
        <v>4</v>
      </c>
      <c r="G234" s="10" t="s">
        <v>299</v>
      </c>
      <c r="H234" s="10" t="s">
        <v>298</v>
      </c>
    </row>
    <row r="235" customFormat="false" ht="15" hidden="false" customHeight="false" outlineLevel="0" collapsed="false">
      <c r="A235" s="15" t="n">
        <v>45891</v>
      </c>
      <c r="B235" s="11" t="n">
        <v>2025</v>
      </c>
      <c r="C235" s="11" t="n">
        <v>8</v>
      </c>
      <c r="D235" s="11" t="s">
        <v>314</v>
      </c>
      <c r="E235" s="11" t="s">
        <v>313</v>
      </c>
      <c r="F235" s="11" t="n">
        <v>5</v>
      </c>
      <c r="G235" s="11" t="s">
        <v>300</v>
      </c>
      <c r="H235" s="11" t="s">
        <v>298</v>
      </c>
    </row>
    <row r="236" customFormat="false" ht="15" hidden="false" customHeight="false" outlineLevel="0" collapsed="false">
      <c r="A236" s="14" t="n">
        <v>45892</v>
      </c>
      <c r="B236" s="10" t="n">
        <v>2025</v>
      </c>
      <c r="C236" s="10" t="n">
        <v>8</v>
      </c>
      <c r="D236" s="10" t="s">
        <v>314</v>
      </c>
      <c r="E236" s="10" t="s">
        <v>313</v>
      </c>
      <c r="F236" s="10" t="n">
        <v>6</v>
      </c>
      <c r="G236" s="10" t="s">
        <v>301</v>
      </c>
      <c r="H236" s="10" t="s">
        <v>302</v>
      </c>
    </row>
    <row r="237" customFormat="false" ht="15" hidden="false" customHeight="false" outlineLevel="0" collapsed="false">
      <c r="A237" s="15" t="n">
        <v>45893</v>
      </c>
      <c r="B237" s="11" t="n">
        <v>2025</v>
      </c>
      <c r="C237" s="11" t="n">
        <v>8</v>
      </c>
      <c r="D237" s="11" t="s">
        <v>314</v>
      </c>
      <c r="E237" s="11" t="s">
        <v>313</v>
      </c>
      <c r="F237" s="11" t="n">
        <v>7</v>
      </c>
      <c r="G237" s="11" t="s">
        <v>303</v>
      </c>
      <c r="H237" s="11" t="s">
        <v>302</v>
      </c>
    </row>
    <row r="238" customFormat="false" ht="15" hidden="false" customHeight="false" outlineLevel="0" collapsed="false">
      <c r="A238" s="14" t="n">
        <v>45894</v>
      </c>
      <c r="B238" s="10" t="n">
        <v>2025</v>
      </c>
      <c r="C238" s="10" t="n">
        <v>8</v>
      </c>
      <c r="D238" s="10" t="s">
        <v>314</v>
      </c>
      <c r="E238" s="10" t="s">
        <v>313</v>
      </c>
      <c r="F238" s="10" t="n">
        <v>1</v>
      </c>
      <c r="G238" s="10" t="s">
        <v>304</v>
      </c>
      <c r="H238" s="10" t="s">
        <v>298</v>
      </c>
    </row>
    <row r="239" customFormat="false" ht="15" hidden="false" customHeight="false" outlineLevel="0" collapsed="false">
      <c r="A239" s="15" t="n">
        <v>45895</v>
      </c>
      <c r="B239" s="11" t="n">
        <v>2025</v>
      </c>
      <c r="C239" s="11" t="n">
        <v>8</v>
      </c>
      <c r="D239" s="11" t="s">
        <v>314</v>
      </c>
      <c r="E239" s="11" t="s">
        <v>313</v>
      </c>
      <c r="F239" s="11" t="n">
        <v>2</v>
      </c>
      <c r="G239" s="11" t="s">
        <v>305</v>
      </c>
      <c r="H239" s="11" t="s">
        <v>298</v>
      </c>
    </row>
    <row r="240" customFormat="false" ht="15" hidden="false" customHeight="false" outlineLevel="0" collapsed="false">
      <c r="A240" s="14" t="n">
        <v>45896</v>
      </c>
      <c r="B240" s="10" t="n">
        <v>2025</v>
      </c>
      <c r="C240" s="10" t="n">
        <v>8</v>
      </c>
      <c r="D240" s="10" t="s">
        <v>314</v>
      </c>
      <c r="E240" s="10" t="s">
        <v>313</v>
      </c>
      <c r="F240" s="10" t="n">
        <v>3</v>
      </c>
      <c r="G240" s="10" t="s">
        <v>297</v>
      </c>
      <c r="H240" s="10" t="s">
        <v>298</v>
      </c>
    </row>
    <row r="241" customFormat="false" ht="15" hidden="false" customHeight="false" outlineLevel="0" collapsed="false">
      <c r="A241" s="15" t="n">
        <v>45897</v>
      </c>
      <c r="B241" s="11" t="n">
        <v>2025</v>
      </c>
      <c r="C241" s="11" t="n">
        <v>8</v>
      </c>
      <c r="D241" s="11" t="s">
        <v>314</v>
      </c>
      <c r="E241" s="11" t="s">
        <v>313</v>
      </c>
      <c r="F241" s="11" t="n">
        <v>4</v>
      </c>
      <c r="G241" s="11" t="s">
        <v>299</v>
      </c>
      <c r="H241" s="11" t="s">
        <v>298</v>
      </c>
    </row>
    <row r="242" customFormat="false" ht="15" hidden="false" customHeight="false" outlineLevel="0" collapsed="false">
      <c r="A242" s="14" t="n">
        <v>45898</v>
      </c>
      <c r="B242" s="10" t="n">
        <v>2025</v>
      </c>
      <c r="C242" s="10" t="n">
        <v>8</v>
      </c>
      <c r="D242" s="10" t="s">
        <v>314</v>
      </c>
      <c r="E242" s="10" t="s">
        <v>313</v>
      </c>
      <c r="F242" s="10" t="n">
        <v>5</v>
      </c>
      <c r="G242" s="10" t="s">
        <v>300</v>
      </c>
      <c r="H242" s="10" t="s">
        <v>298</v>
      </c>
    </row>
    <row r="243" customFormat="false" ht="15" hidden="false" customHeight="false" outlineLevel="0" collapsed="false">
      <c r="A243" s="15" t="n">
        <v>45899</v>
      </c>
      <c r="B243" s="11" t="n">
        <v>2025</v>
      </c>
      <c r="C243" s="11" t="n">
        <v>8</v>
      </c>
      <c r="D243" s="11" t="s">
        <v>314</v>
      </c>
      <c r="E243" s="11" t="s">
        <v>313</v>
      </c>
      <c r="F243" s="11" t="n">
        <v>6</v>
      </c>
      <c r="G243" s="11" t="s">
        <v>301</v>
      </c>
      <c r="H243" s="11" t="s">
        <v>302</v>
      </c>
    </row>
    <row r="244" customFormat="false" ht="15" hidden="false" customHeight="false" outlineLevel="0" collapsed="false">
      <c r="A244" s="14" t="n">
        <v>45900</v>
      </c>
      <c r="B244" s="10" t="n">
        <v>2025</v>
      </c>
      <c r="C244" s="10" t="n">
        <v>8</v>
      </c>
      <c r="D244" s="10" t="s">
        <v>314</v>
      </c>
      <c r="E244" s="10" t="s">
        <v>313</v>
      </c>
      <c r="F244" s="10" t="n">
        <v>7</v>
      </c>
      <c r="G244" s="10" t="s">
        <v>303</v>
      </c>
      <c r="H244" s="10" t="s">
        <v>302</v>
      </c>
    </row>
    <row r="245" customFormat="false" ht="15" hidden="false" customHeight="false" outlineLevel="0" collapsed="false">
      <c r="A245" s="15" t="n">
        <v>45901</v>
      </c>
      <c r="B245" s="11" t="n">
        <v>2025</v>
      </c>
      <c r="C245" s="11" t="n">
        <v>9</v>
      </c>
      <c r="D245" s="11" t="s">
        <v>315</v>
      </c>
      <c r="E245" s="11" t="s">
        <v>313</v>
      </c>
      <c r="F245" s="11" t="n">
        <v>1</v>
      </c>
      <c r="G245" s="11" t="s">
        <v>304</v>
      </c>
      <c r="H245" s="11" t="s">
        <v>298</v>
      </c>
    </row>
    <row r="246" customFormat="false" ht="15" hidden="false" customHeight="false" outlineLevel="0" collapsed="false">
      <c r="A246" s="14" t="n">
        <v>45902</v>
      </c>
      <c r="B246" s="10" t="n">
        <v>2025</v>
      </c>
      <c r="C246" s="10" t="n">
        <v>9</v>
      </c>
      <c r="D246" s="10" t="s">
        <v>315</v>
      </c>
      <c r="E246" s="10" t="s">
        <v>313</v>
      </c>
      <c r="F246" s="10" t="n">
        <v>2</v>
      </c>
      <c r="G246" s="10" t="s">
        <v>305</v>
      </c>
      <c r="H246" s="10" t="s">
        <v>298</v>
      </c>
    </row>
    <row r="247" customFormat="false" ht="15" hidden="false" customHeight="false" outlineLevel="0" collapsed="false">
      <c r="A247" s="15" t="n">
        <v>45903</v>
      </c>
      <c r="B247" s="11" t="n">
        <v>2025</v>
      </c>
      <c r="C247" s="11" t="n">
        <v>9</v>
      </c>
      <c r="D247" s="11" t="s">
        <v>315</v>
      </c>
      <c r="E247" s="11" t="s">
        <v>313</v>
      </c>
      <c r="F247" s="11" t="n">
        <v>3</v>
      </c>
      <c r="G247" s="11" t="s">
        <v>297</v>
      </c>
      <c r="H247" s="11" t="s">
        <v>298</v>
      </c>
    </row>
    <row r="248" customFormat="false" ht="15" hidden="false" customHeight="false" outlineLevel="0" collapsed="false">
      <c r="A248" s="14" t="n">
        <v>45904</v>
      </c>
      <c r="B248" s="10" t="n">
        <v>2025</v>
      </c>
      <c r="C248" s="10" t="n">
        <v>9</v>
      </c>
      <c r="D248" s="10" t="s">
        <v>315</v>
      </c>
      <c r="E248" s="10" t="s">
        <v>313</v>
      </c>
      <c r="F248" s="10" t="n">
        <v>4</v>
      </c>
      <c r="G248" s="10" t="s">
        <v>299</v>
      </c>
      <c r="H248" s="10" t="s">
        <v>298</v>
      </c>
    </row>
    <row r="249" customFormat="false" ht="15" hidden="false" customHeight="false" outlineLevel="0" collapsed="false">
      <c r="A249" s="15" t="n">
        <v>45905</v>
      </c>
      <c r="B249" s="11" t="n">
        <v>2025</v>
      </c>
      <c r="C249" s="11" t="n">
        <v>9</v>
      </c>
      <c r="D249" s="11" t="s">
        <v>315</v>
      </c>
      <c r="E249" s="11" t="s">
        <v>313</v>
      </c>
      <c r="F249" s="11" t="n">
        <v>5</v>
      </c>
      <c r="G249" s="11" t="s">
        <v>300</v>
      </c>
      <c r="H249" s="11" t="s">
        <v>298</v>
      </c>
    </row>
    <row r="250" customFormat="false" ht="15" hidden="false" customHeight="false" outlineLevel="0" collapsed="false">
      <c r="A250" s="14" t="n">
        <v>45906</v>
      </c>
      <c r="B250" s="10" t="n">
        <v>2025</v>
      </c>
      <c r="C250" s="10" t="n">
        <v>9</v>
      </c>
      <c r="D250" s="10" t="s">
        <v>315</v>
      </c>
      <c r="E250" s="10" t="s">
        <v>313</v>
      </c>
      <c r="F250" s="10" t="n">
        <v>6</v>
      </c>
      <c r="G250" s="10" t="s">
        <v>301</v>
      </c>
      <c r="H250" s="10" t="s">
        <v>302</v>
      </c>
    </row>
    <row r="251" customFormat="false" ht="15" hidden="false" customHeight="false" outlineLevel="0" collapsed="false">
      <c r="A251" s="15" t="n">
        <v>45907</v>
      </c>
      <c r="B251" s="11" t="n">
        <v>2025</v>
      </c>
      <c r="C251" s="11" t="n">
        <v>9</v>
      </c>
      <c r="D251" s="11" t="s">
        <v>315</v>
      </c>
      <c r="E251" s="11" t="s">
        <v>313</v>
      </c>
      <c r="F251" s="11" t="n">
        <v>7</v>
      </c>
      <c r="G251" s="11" t="s">
        <v>303</v>
      </c>
      <c r="H251" s="11" t="s">
        <v>302</v>
      </c>
    </row>
    <row r="252" customFormat="false" ht="15" hidden="false" customHeight="false" outlineLevel="0" collapsed="false">
      <c r="A252" s="14" t="n">
        <v>45908</v>
      </c>
      <c r="B252" s="10" t="n">
        <v>2025</v>
      </c>
      <c r="C252" s="10" t="n">
        <v>9</v>
      </c>
      <c r="D252" s="10" t="s">
        <v>315</v>
      </c>
      <c r="E252" s="10" t="s">
        <v>313</v>
      </c>
      <c r="F252" s="10" t="n">
        <v>1</v>
      </c>
      <c r="G252" s="10" t="s">
        <v>304</v>
      </c>
      <c r="H252" s="10" t="s">
        <v>298</v>
      </c>
    </row>
    <row r="253" customFormat="false" ht="15" hidden="false" customHeight="false" outlineLevel="0" collapsed="false">
      <c r="A253" s="15" t="n">
        <v>45909</v>
      </c>
      <c r="B253" s="11" t="n">
        <v>2025</v>
      </c>
      <c r="C253" s="11" t="n">
        <v>9</v>
      </c>
      <c r="D253" s="11" t="s">
        <v>315</v>
      </c>
      <c r="E253" s="11" t="s">
        <v>313</v>
      </c>
      <c r="F253" s="11" t="n">
        <v>2</v>
      </c>
      <c r="G253" s="11" t="s">
        <v>305</v>
      </c>
      <c r="H253" s="11" t="s">
        <v>298</v>
      </c>
    </row>
    <row r="254" customFormat="false" ht="15" hidden="false" customHeight="false" outlineLevel="0" collapsed="false">
      <c r="A254" s="14" t="n">
        <v>45910</v>
      </c>
      <c r="B254" s="10" t="n">
        <v>2025</v>
      </c>
      <c r="C254" s="10" t="n">
        <v>9</v>
      </c>
      <c r="D254" s="10" t="s">
        <v>315</v>
      </c>
      <c r="E254" s="10" t="s">
        <v>313</v>
      </c>
      <c r="F254" s="10" t="n">
        <v>3</v>
      </c>
      <c r="G254" s="10" t="s">
        <v>297</v>
      </c>
      <c r="H254" s="10" t="s">
        <v>298</v>
      </c>
    </row>
    <row r="255" customFormat="false" ht="15" hidden="false" customHeight="false" outlineLevel="0" collapsed="false">
      <c r="A255" s="15" t="n">
        <v>45911</v>
      </c>
      <c r="B255" s="11" t="n">
        <v>2025</v>
      </c>
      <c r="C255" s="11" t="n">
        <v>9</v>
      </c>
      <c r="D255" s="11" t="s">
        <v>315</v>
      </c>
      <c r="E255" s="11" t="s">
        <v>313</v>
      </c>
      <c r="F255" s="11" t="n">
        <v>4</v>
      </c>
      <c r="G255" s="11" t="s">
        <v>299</v>
      </c>
      <c r="H255" s="11" t="s">
        <v>298</v>
      </c>
    </row>
    <row r="256" customFormat="false" ht="15" hidden="false" customHeight="false" outlineLevel="0" collapsed="false">
      <c r="A256" s="14" t="n">
        <v>45912</v>
      </c>
      <c r="B256" s="10" t="n">
        <v>2025</v>
      </c>
      <c r="C256" s="10" t="n">
        <v>9</v>
      </c>
      <c r="D256" s="10" t="s">
        <v>315</v>
      </c>
      <c r="E256" s="10" t="s">
        <v>313</v>
      </c>
      <c r="F256" s="10" t="n">
        <v>5</v>
      </c>
      <c r="G256" s="10" t="s">
        <v>300</v>
      </c>
      <c r="H256" s="10" t="s">
        <v>298</v>
      </c>
    </row>
    <row r="257" customFormat="false" ht="15" hidden="false" customHeight="false" outlineLevel="0" collapsed="false">
      <c r="A257" s="15" t="n">
        <v>45913</v>
      </c>
      <c r="B257" s="11" t="n">
        <v>2025</v>
      </c>
      <c r="C257" s="11" t="n">
        <v>9</v>
      </c>
      <c r="D257" s="11" t="s">
        <v>315</v>
      </c>
      <c r="E257" s="11" t="s">
        <v>313</v>
      </c>
      <c r="F257" s="11" t="n">
        <v>6</v>
      </c>
      <c r="G257" s="11" t="s">
        <v>301</v>
      </c>
      <c r="H257" s="11" t="s">
        <v>302</v>
      </c>
    </row>
    <row r="258" customFormat="false" ht="15" hidden="false" customHeight="false" outlineLevel="0" collapsed="false">
      <c r="A258" s="14" t="n">
        <v>45914</v>
      </c>
      <c r="B258" s="10" t="n">
        <v>2025</v>
      </c>
      <c r="C258" s="10" t="n">
        <v>9</v>
      </c>
      <c r="D258" s="10" t="s">
        <v>315</v>
      </c>
      <c r="E258" s="10" t="s">
        <v>313</v>
      </c>
      <c r="F258" s="10" t="n">
        <v>7</v>
      </c>
      <c r="G258" s="10" t="s">
        <v>303</v>
      </c>
      <c r="H258" s="10" t="s">
        <v>302</v>
      </c>
    </row>
    <row r="259" customFormat="false" ht="15" hidden="false" customHeight="false" outlineLevel="0" collapsed="false">
      <c r="A259" s="15" t="n">
        <v>45915</v>
      </c>
      <c r="B259" s="11" t="n">
        <v>2025</v>
      </c>
      <c r="C259" s="11" t="n">
        <v>9</v>
      </c>
      <c r="D259" s="11" t="s">
        <v>315</v>
      </c>
      <c r="E259" s="11" t="s">
        <v>313</v>
      </c>
      <c r="F259" s="11" t="n">
        <v>1</v>
      </c>
      <c r="G259" s="11" t="s">
        <v>304</v>
      </c>
      <c r="H259" s="11" t="s">
        <v>298</v>
      </c>
    </row>
    <row r="260" customFormat="false" ht="15" hidden="false" customHeight="false" outlineLevel="0" collapsed="false">
      <c r="A260" s="14" t="n">
        <v>45916</v>
      </c>
      <c r="B260" s="10" t="n">
        <v>2025</v>
      </c>
      <c r="C260" s="10" t="n">
        <v>9</v>
      </c>
      <c r="D260" s="10" t="s">
        <v>315</v>
      </c>
      <c r="E260" s="10" t="s">
        <v>313</v>
      </c>
      <c r="F260" s="10" t="n">
        <v>2</v>
      </c>
      <c r="G260" s="10" t="s">
        <v>305</v>
      </c>
      <c r="H260" s="10" t="s">
        <v>298</v>
      </c>
    </row>
    <row r="261" customFormat="false" ht="15" hidden="false" customHeight="false" outlineLevel="0" collapsed="false">
      <c r="A261" s="15" t="n">
        <v>45917</v>
      </c>
      <c r="B261" s="11" t="n">
        <v>2025</v>
      </c>
      <c r="C261" s="11" t="n">
        <v>9</v>
      </c>
      <c r="D261" s="11" t="s">
        <v>315</v>
      </c>
      <c r="E261" s="11" t="s">
        <v>313</v>
      </c>
      <c r="F261" s="11" t="n">
        <v>3</v>
      </c>
      <c r="G261" s="11" t="s">
        <v>297</v>
      </c>
      <c r="H261" s="11" t="s">
        <v>298</v>
      </c>
    </row>
    <row r="262" customFormat="false" ht="15" hidden="false" customHeight="false" outlineLevel="0" collapsed="false">
      <c r="A262" s="14" t="n">
        <v>45918</v>
      </c>
      <c r="B262" s="10" t="n">
        <v>2025</v>
      </c>
      <c r="C262" s="10" t="n">
        <v>9</v>
      </c>
      <c r="D262" s="10" t="s">
        <v>315</v>
      </c>
      <c r="E262" s="10" t="s">
        <v>313</v>
      </c>
      <c r="F262" s="10" t="n">
        <v>4</v>
      </c>
      <c r="G262" s="10" t="s">
        <v>299</v>
      </c>
      <c r="H262" s="10" t="s">
        <v>298</v>
      </c>
    </row>
    <row r="263" customFormat="false" ht="15" hidden="false" customHeight="false" outlineLevel="0" collapsed="false">
      <c r="A263" s="15" t="n">
        <v>45919</v>
      </c>
      <c r="B263" s="11" t="n">
        <v>2025</v>
      </c>
      <c r="C263" s="11" t="n">
        <v>9</v>
      </c>
      <c r="D263" s="11" t="s">
        <v>315</v>
      </c>
      <c r="E263" s="11" t="s">
        <v>313</v>
      </c>
      <c r="F263" s="11" t="n">
        <v>5</v>
      </c>
      <c r="G263" s="11" t="s">
        <v>300</v>
      </c>
      <c r="H263" s="11" t="s">
        <v>298</v>
      </c>
    </row>
    <row r="264" customFormat="false" ht="15" hidden="false" customHeight="false" outlineLevel="0" collapsed="false">
      <c r="A264" s="14" t="n">
        <v>45920</v>
      </c>
      <c r="B264" s="10" t="n">
        <v>2025</v>
      </c>
      <c r="C264" s="10" t="n">
        <v>9</v>
      </c>
      <c r="D264" s="10" t="s">
        <v>315</v>
      </c>
      <c r="E264" s="10" t="s">
        <v>313</v>
      </c>
      <c r="F264" s="10" t="n">
        <v>6</v>
      </c>
      <c r="G264" s="10" t="s">
        <v>301</v>
      </c>
      <c r="H264" s="10" t="s">
        <v>302</v>
      </c>
    </row>
    <row r="265" customFormat="false" ht="15" hidden="false" customHeight="false" outlineLevel="0" collapsed="false">
      <c r="A265" s="15" t="n">
        <v>45921</v>
      </c>
      <c r="B265" s="11" t="n">
        <v>2025</v>
      </c>
      <c r="C265" s="11" t="n">
        <v>9</v>
      </c>
      <c r="D265" s="11" t="s">
        <v>315</v>
      </c>
      <c r="E265" s="11" t="s">
        <v>313</v>
      </c>
      <c r="F265" s="11" t="n">
        <v>7</v>
      </c>
      <c r="G265" s="11" t="s">
        <v>303</v>
      </c>
      <c r="H265" s="11" t="s">
        <v>302</v>
      </c>
    </row>
    <row r="266" customFormat="false" ht="15" hidden="false" customHeight="false" outlineLevel="0" collapsed="false">
      <c r="A266" s="14" t="n">
        <v>45922</v>
      </c>
      <c r="B266" s="10" t="n">
        <v>2025</v>
      </c>
      <c r="C266" s="10" t="n">
        <v>9</v>
      </c>
      <c r="D266" s="10" t="s">
        <v>315</v>
      </c>
      <c r="E266" s="10" t="s">
        <v>313</v>
      </c>
      <c r="F266" s="10" t="n">
        <v>1</v>
      </c>
      <c r="G266" s="10" t="s">
        <v>304</v>
      </c>
      <c r="H266" s="10" t="s">
        <v>298</v>
      </c>
    </row>
    <row r="267" customFormat="false" ht="15" hidden="false" customHeight="false" outlineLevel="0" collapsed="false">
      <c r="A267" s="15" t="n">
        <v>45923</v>
      </c>
      <c r="B267" s="11" t="n">
        <v>2025</v>
      </c>
      <c r="C267" s="11" t="n">
        <v>9</v>
      </c>
      <c r="D267" s="11" t="s">
        <v>315</v>
      </c>
      <c r="E267" s="11" t="s">
        <v>313</v>
      </c>
      <c r="F267" s="11" t="n">
        <v>2</v>
      </c>
      <c r="G267" s="11" t="s">
        <v>305</v>
      </c>
      <c r="H267" s="11" t="s">
        <v>298</v>
      </c>
    </row>
    <row r="268" customFormat="false" ht="15" hidden="false" customHeight="false" outlineLevel="0" collapsed="false">
      <c r="A268" s="14" t="n">
        <v>45924</v>
      </c>
      <c r="B268" s="10" t="n">
        <v>2025</v>
      </c>
      <c r="C268" s="10" t="n">
        <v>9</v>
      </c>
      <c r="D268" s="10" t="s">
        <v>315</v>
      </c>
      <c r="E268" s="10" t="s">
        <v>313</v>
      </c>
      <c r="F268" s="10" t="n">
        <v>3</v>
      </c>
      <c r="G268" s="10" t="s">
        <v>297</v>
      </c>
      <c r="H268" s="10" t="s">
        <v>298</v>
      </c>
    </row>
    <row r="269" customFormat="false" ht="15" hidden="false" customHeight="false" outlineLevel="0" collapsed="false">
      <c r="A269" s="15" t="n">
        <v>45925</v>
      </c>
      <c r="B269" s="11" t="n">
        <v>2025</v>
      </c>
      <c r="C269" s="11" t="n">
        <v>9</v>
      </c>
      <c r="D269" s="11" t="s">
        <v>315</v>
      </c>
      <c r="E269" s="11" t="s">
        <v>313</v>
      </c>
      <c r="F269" s="11" t="n">
        <v>4</v>
      </c>
      <c r="G269" s="11" t="s">
        <v>299</v>
      </c>
      <c r="H269" s="11" t="s">
        <v>298</v>
      </c>
    </row>
    <row r="270" customFormat="false" ht="15" hidden="false" customHeight="false" outlineLevel="0" collapsed="false">
      <c r="A270" s="14" t="n">
        <v>45926</v>
      </c>
      <c r="B270" s="10" t="n">
        <v>2025</v>
      </c>
      <c r="C270" s="10" t="n">
        <v>9</v>
      </c>
      <c r="D270" s="10" t="s">
        <v>315</v>
      </c>
      <c r="E270" s="10" t="s">
        <v>313</v>
      </c>
      <c r="F270" s="10" t="n">
        <v>5</v>
      </c>
      <c r="G270" s="10" t="s">
        <v>300</v>
      </c>
      <c r="H270" s="10" t="s">
        <v>298</v>
      </c>
    </row>
    <row r="271" customFormat="false" ht="15" hidden="false" customHeight="false" outlineLevel="0" collapsed="false">
      <c r="A271" s="15" t="n">
        <v>45927</v>
      </c>
      <c r="B271" s="11" t="n">
        <v>2025</v>
      </c>
      <c r="C271" s="11" t="n">
        <v>9</v>
      </c>
      <c r="D271" s="11" t="s">
        <v>315</v>
      </c>
      <c r="E271" s="11" t="s">
        <v>313</v>
      </c>
      <c r="F271" s="11" t="n">
        <v>6</v>
      </c>
      <c r="G271" s="11" t="s">
        <v>301</v>
      </c>
      <c r="H271" s="11" t="s">
        <v>302</v>
      </c>
    </row>
    <row r="272" customFormat="false" ht="15" hidden="false" customHeight="false" outlineLevel="0" collapsed="false">
      <c r="A272" s="14" t="n">
        <v>45928</v>
      </c>
      <c r="B272" s="10" t="n">
        <v>2025</v>
      </c>
      <c r="C272" s="10" t="n">
        <v>9</v>
      </c>
      <c r="D272" s="10" t="s">
        <v>315</v>
      </c>
      <c r="E272" s="10" t="s">
        <v>313</v>
      </c>
      <c r="F272" s="10" t="n">
        <v>7</v>
      </c>
      <c r="G272" s="10" t="s">
        <v>303</v>
      </c>
      <c r="H272" s="10" t="s">
        <v>302</v>
      </c>
    </row>
    <row r="273" customFormat="false" ht="15" hidden="false" customHeight="false" outlineLevel="0" collapsed="false">
      <c r="A273" s="15" t="n">
        <v>45929</v>
      </c>
      <c r="B273" s="11" t="n">
        <v>2025</v>
      </c>
      <c r="C273" s="11" t="n">
        <v>9</v>
      </c>
      <c r="D273" s="11" t="s">
        <v>315</v>
      </c>
      <c r="E273" s="11" t="s">
        <v>313</v>
      </c>
      <c r="F273" s="11" t="n">
        <v>1</v>
      </c>
      <c r="G273" s="11" t="s">
        <v>304</v>
      </c>
      <c r="H273" s="11" t="s">
        <v>298</v>
      </c>
    </row>
    <row r="274" customFormat="false" ht="15" hidden="false" customHeight="false" outlineLevel="0" collapsed="false">
      <c r="A274" s="14" t="n">
        <v>45930</v>
      </c>
      <c r="B274" s="10" t="n">
        <v>2025</v>
      </c>
      <c r="C274" s="10" t="n">
        <v>9</v>
      </c>
      <c r="D274" s="10" t="s">
        <v>315</v>
      </c>
      <c r="E274" s="10" t="s">
        <v>313</v>
      </c>
      <c r="F274" s="10" t="n">
        <v>2</v>
      </c>
      <c r="G274" s="10" t="s">
        <v>305</v>
      </c>
      <c r="H274" s="10" t="s">
        <v>298</v>
      </c>
    </row>
    <row r="275" customFormat="false" ht="15" hidden="false" customHeight="false" outlineLevel="0" collapsed="false">
      <c r="A275" s="15" t="n">
        <v>45931</v>
      </c>
      <c r="B275" s="11" t="n">
        <v>2025</v>
      </c>
      <c r="C275" s="11" t="n">
        <v>10</v>
      </c>
      <c r="D275" s="11" t="s">
        <v>316</v>
      </c>
      <c r="E275" s="11" t="s">
        <v>317</v>
      </c>
      <c r="F275" s="11" t="n">
        <v>3</v>
      </c>
      <c r="G275" s="11" t="s">
        <v>297</v>
      </c>
      <c r="H275" s="11" t="s">
        <v>298</v>
      </c>
    </row>
    <row r="276" customFormat="false" ht="15" hidden="false" customHeight="false" outlineLevel="0" collapsed="false">
      <c r="A276" s="14" t="n">
        <v>45932</v>
      </c>
      <c r="B276" s="10" t="n">
        <v>2025</v>
      </c>
      <c r="C276" s="10" t="n">
        <v>10</v>
      </c>
      <c r="D276" s="10" t="s">
        <v>316</v>
      </c>
      <c r="E276" s="10" t="s">
        <v>317</v>
      </c>
      <c r="F276" s="10" t="n">
        <v>4</v>
      </c>
      <c r="G276" s="10" t="s">
        <v>299</v>
      </c>
      <c r="H276" s="10" t="s">
        <v>298</v>
      </c>
    </row>
    <row r="277" customFormat="false" ht="15" hidden="false" customHeight="false" outlineLevel="0" collapsed="false">
      <c r="A277" s="15" t="n">
        <v>45933</v>
      </c>
      <c r="B277" s="11" t="n">
        <v>2025</v>
      </c>
      <c r="C277" s="11" t="n">
        <v>10</v>
      </c>
      <c r="D277" s="11" t="s">
        <v>316</v>
      </c>
      <c r="E277" s="11" t="s">
        <v>317</v>
      </c>
      <c r="F277" s="11" t="n">
        <v>5</v>
      </c>
      <c r="G277" s="11" t="s">
        <v>300</v>
      </c>
      <c r="H277" s="11" t="s">
        <v>298</v>
      </c>
    </row>
    <row r="278" customFormat="false" ht="15" hidden="false" customHeight="false" outlineLevel="0" collapsed="false">
      <c r="A278" s="14" t="n">
        <v>45934</v>
      </c>
      <c r="B278" s="10" t="n">
        <v>2025</v>
      </c>
      <c r="C278" s="10" t="n">
        <v>10</v>
      </c>
      <c r="D278" s="10" t="s">
        <v>316</v>
      </c>
      <c r="E278" s="10" t="s">
        <v>317</v>
      </c>
      <c r="F278" s="10" t="n">
        <v>6</v>
      </c>
      <c r="G278" s="10" t="s">
        <v>301</v>
      </c>
      <c r="H278" s="10" t="s">
        <v>302</v>
      </c>
    </row>
    <row r="279" customFormat="false" ht="15" hidden="false" customHeight="false" outlineLevel="0" collapsed="false">
      <c r="A279" s="15" t="n">
        <v>45935</v>
      </c>
      <c r="B279" s="11" t="n">
        <v>2025</v>
      </c>
      <c r="C279" s="11" t="n">
        <v>10</v>
      </c>
      <c r="D279" s="11" t="s">
        <v>316</v>
      </c>
      <c r="E279" s="11" t="s">
        <v>317</v>
      </c>
      <c r="F279" s="11" t="n">
        <v>7</v>
      </c>
      <c r="G279" s="11" t="s">
        <v>303</v>
      </c>
      <c r="H279" s="11" t="s">
        <v>302</v>
      </c>
    </row>
    <row r="280" customFormat="false" ht="15" hidden="false" customHeight="false" outlineLevel="0" collapsed="false">
      <c r="A280" s="14" t="n">
        <v>45936</v>
      </c>
      <c r="B280" s="10" t="n">
        <v>2025</v>
      </c>
      <c r="C280" s="10" t="n">
        <v>10</v>
      </c>
      <c r="D280" s="10" t="s">
        <v>316</v>
      </c>
      <c r="E280" s="10" t="s">
        <v>317</v>
      </c>
      <c r="F280" s="10" t="n">
        <v>1</v>
      </c>
      <c r="G280" s="10" t="s">
        <v>304</v>
      </c>
      <c r="H280" s="10" t="s">
        <v>298</v>
      </c>
    </row>
    <row r="281" customFormat="false" ht="15" hidden="false" customHeight="false" outlineLevel="0" collapsed="false">
      <c r="A281" s="15" t="n">
        <v>45937</v>
      </c>
      <c r="B281" s="11" t="n">
        <v>2025</v>
      </c>
      <c r="C281" s="11" t="n">
        <v>10</v>
      </c>
      <c r="D281" s="11" t="s">
        <v>316</v>
      </c>
      <c r="E281" s="11" t="s">
        <v>317</v>
      </c>
      <c r="F281" s="11" t="n">
        <v>2</v>
      </c>
      <c r="G281" s="11" t="s">
        <v>305</v>
      </c>
      <c r="H281" s="11" t="s">
        <v>298</v>
      </c>
    </row>
    <row r="282" customFormat="false" ht="15" hidden="false" customHeight="false" outlineLevel="0" collapsed="false">
      <c r="A282" s="14" t="n">
        <v>45938</v>
      </c>
      <c r="B282" s="10" t="n">
        <v>2025</v>
      </c>
      <c r="C282" s="10" t="n">
        <v>10</v>
      </c>
      <c r="D282" s="10" t="s">
        <v>316</v>
      </c>
      <c r="E282" s="10" t="s">
        <v>317</v>
      </c>
      <c r="F282" s="10" t="n">
        <v>3</v>
      </c>
      <c r="G282" s="10" t="s">
        <v>297</v>
      </c>
      <c r="H282" s="10" t="s">
        <v>298</v>
      </c>
    </row>
    <row r="283" customFormat="false" ht="15" hidden="false" customHeight="false" outlineLevel="0" collapsed="false">
      <c r="A283" s="15" t="n">
        <v>45939</v>
      </c>
      <c r="B283" s="11" t="n">
        <v>2025</v>
      </c>
      <c r="C283" s="11" t="n">
        <v>10</v>
      </c>
      <c r="D283" s="11" t="s">
        <v>316</v>
      </c>
      <c r="E283" s="11" t="s">
        <v>317</v>
      </c>
      <c r="F283" s="11" t="n">
        <v>4</v>
      </c>
      <c r="G283" s="11" t="s">
        <v>299</v>
      </c>
      <c r="H283" s="11" t="s">
        <v>298</v>
      </c>
    </row>
    <row r="284" customFormat="false" ht="15" hidden="false" customHeight="false" outlineLevel="0" collapsed="false">
      <c r="A284" s="14" t="n">
        <v>45940</v>
      </c>
      <c r="B284" s="10" t="n">
        <v>2025</v>
      </c>
      <c r="C284" s="10" t="n">
        <v>10</v>
      </c>
      <c r="D284" s="10" t="s">
        <v>316</v>
      </c>
      <c r="E284" s="10" t="s">
        <v>317</v>
      </c>
      <c r="F284" s="10" t="n">
        <v>5</v>
      </c>
      <c r="G284" s="10" t="s">
        <v>300</v>
      </c>
      <c r="H284" s="10" t="s">
        <v>298</v>
      </c>
    </row>
    <row r="285" customFormat="false" ht="15" hidden="false" customHeight="false" outlineLevel="0" collapsed="false">
      <c r="A285" s="15" t="n">
        <v>45941</v>
      </c>
      <c r="B285" s="11" t="n">
        <v>2025</v>
      </c>
      <c r="C285" s="11" t="n">
        <v>10</v>
      </c>
      <c r="D285" s="11" t="s">
        <v>316</v>
      </c>
      <c r="E285" s="11" t="s">
        <v>317</v>
      </c>
      <c r="F285" s="11" t="n">
        <v>6</v>
      </c>
      <c r="G285" s="11" t="s">
        <v>301</v>
      </c>
      <c r="H285" s="11" t="s">
        <v>302</v>
      </c>
    </row>
    <row r="286" customFormat="false" ht="15" hidden="false" customHeight="false" outlineLevel="0" collapsed="false">
      <c r="A286" s="14" t="n">
        <v>45942</v>
      </c>
      <c r="B286" s="10" t="n">
        <v>2025</v>
      </c>
      <c r="C286" s="10" t="n">
        <v>10</v>
      </c>
      <c r="D286" s="10" t="s">
        <v>316</v>
      </c>
      <c r="E286" s="10" t="s">
        <v>317</v>
      </c>
      <c r="F286" s="10" t="n">
        <v>7</v>
      </c>
      <c r="G286" s="10" t="s">
        <v>303</v>
      </c>
      <c r="H286" s="10" t="s">
        <v>302</v>
      </c>
    </row>
    <row r="287" customFormat="false" ht="15" hidden="false" customHeight="false" outlineLevel="0" collapsed="false">
      <c r="A287" s="15" t="n">
        <v>45943</v>
      </c>
      <c r="B287" s="11" t="n">
        <v>2025</v>
      </c>
      <c r="C287" s="11" t="n">
        <v>10</v>
      </c>
      <c r="D287" s="11" t="s">
        <v>316</v>
      </c>
      <c r="E287" s="11" t="s">
        <v>317</v>
      </c>
      <c r="F287" s="11" t="n">
        <v>1</v>
      </c>
      <c r="G287" s="11" t="s">
        <v>304</v>
      </c>
      <c r="H287" s="11" t="s">
        <v>298</v>
      </c>
    </row>
    <row r="288" customFormat="false" ht="15" hidden="false" customHeight="false" outlineLevel="0" collapsed="false">
      <c r="A288" s="14" t="n">
        <v>45944</v>
      </c>
      <c r="B288" s="10" t="n">
        <v>2025</v>
      </c>
      <c r="C288" s="10" t="n">
        <v>10</v>
      </c>
      <c r="D288" s="10" t="s">
        <v>316</v>
      </c>
      <c r="E288" s="10" t="s">
        <v>317</v>
      </c>
      <c r="F288" s="10" t="n">
        <v>2</v>
      </c>
      <c r="G288" s="10" t="s">
        <v>305</v>
      </c>
      <c r="H288" s="10" t="s">
        <v>298</v>
      </c>
    </row>
    <row r="289" customFormat="false" ht="15" hidden="false" customHeight="false" outlineLevel="0" collapsed="false">
      <c r="A289" s="15" t="n">
        <v>45945</v>
      </c>
      <c r="B289" s="11" t="n">
        <v>2025</v>
      </c>
      <c r="C289" s="11" t="n">
        <v>10</v>
      </c>
      <c r="D289" s="11" t="s">
        <v>316</v>
      </c>
      <c r="E289" s="11" t="s">
        <v>317</v>
      </c>
      <c r="F289" s="11" t="n">
        <v>3</v>
      </c>
      <c r="G289" s="11" t="s">
        <v>297</v>
      </c>
      <c r="H289" s="11" t="s">
        <v>298</v>
      </c>
    </row>
    <row r="290" customFormat="false" ht="15" hidden="false" customHeight="false" outlineLevel="0" collapsed="false">
      <c r="A290" s="14" t="n">
        <v>45946</v>
      </c>
      <c r="B290" s="10" t="n">
        <v>2025</v>
      </c>
      <c r="C290" s="10" t="n">
        <v>10</v>
      </c>
      <c r="D290" s="10" t="s">
        <v>316</v>
      </c>
      <c r="E290" s="10" t="s">
        <v>317</v>
      </c>
      <c r="F290" s="10" t="n">
        <v>4</v>
      </c>
      <c r="G290" s="10" t="s">
        <v>299</v>
      </c>
      <c r="H290" s="10" t="s">
        <v>298</v>
      </c>
    </row>
    <row r="291" customFormat="false" ht="15" hidden="false" customHeight="false" outlineLevel="0" collapsed="false">
      <c r="A291" s="15" t="n">
        <v>45947</v>
      </c>
      <c r="B291" s="11" t="n">
        <v>2025</v>
      </c>
      <c r="C291" s="11" t="n">
        <v>10</v>
      </c>
      <c r="D291" s="11" t="s">
        <v>316</v>
      </c>
      <c r="E291" s="11" t="s">
        <v>317</v>
      </c>
      <c r="F291" s="11" t="n">
        <v>5</v>
      </c>
      <c r="G291" s="11" t="s">
        <v>300</v>
      </c>
      <c r="H291" s="11" t="s">
        <v>298</v>
      </c>
    </row>
    <row r="292" customFormat="false" ht="15" hidden="false" customHeight="false" outlineLevel="0" collapsed="false">
      <c r="A292" s="14" t="n">
        <v>45948</v>
      </c>
      <c r="B292" s="10" t="n">
        <v>2025</v>
      </c>
      <c r="C292" s="10" t="n">
        <v>10</v>
      </c>
      <c r="D292" s="10" t="s">
        <v>316</v>
      </c>
      <c r="E292" s="10" t="s">
        <v>317</v>
      </c>
      <c r="F292" s="10" t="n">
        <v>6</v>
      </c>
      <c r="G292" s="10" t="s">
        <v>301</v>
      </c>
      <c r="H292" s="10" t="s">
        <v>302</v>
      </c>
    </row>
    <row r="293" customFormat="false" ht="15" hidden="false" customHeight="false" outlineLevel="0" collapsed="false">
      <c r="A293" s="15" t="n">
        <v>45949</v>
      </c>
      <c r="B293" s="11" t="n">
        <v>2025</v>
      </c>
      <c r="C293" s="11" t="n">
        <v>10</v>
      </c>
      <c r="D293" s="11" t="s">
        <v>316</v>
      </c>
      <c r="E293" s="11" t="s">
        <v>317</v>
      </c>
      <c r="F293" s="11" t="n">
        <v>7</v>
      </c>
      <c r="G293" s="11" t="s">
        <v>303</v>
      </c>
      <c r="H293" s="11" t="s">
        <v>302</v>
      </c>
    </row>
    <row r="294" customFormat="false" ht="15" hidden="false" customHeight="false" outlineLevel="0" collapsed="false">
      <c r="A294" s="14" t="n">
        <v>45950</v>
      </c>
      <c r="B294" s="10" t="n">
        <v>2025</v>
      </c>
      <c r="C294" s="10" t="n">
        <v>10</v>
      </c>
      <c r="D294" s="10" t="s">
        <v>316</v>
      </c>
      <c r="E294" s="10" t="s">
        <v>317</v>
      </c>
      <c r="F294" s="10" t="n">
        <v>1</v>
      </c>
      <c r="G294" s="10" t="s">
        <v>304</v>
      </c>
      <c r="H294" s="10" t="s">
        <v>298</v>
      </c>
    </row>
    <row r="295" customFormat="false" ht="15" hidden="false" customHeight="false" outlineLevel="0" collapsed="false">
      <c r="A295" s="15" t="n">
        <v>45951</v>
      </c>
      <c r="B295" s="11" t="n">
        <v>2025</v>
      </c>
      <c r="C295" s="11" t="n">
        <v>10</v>
      </c>
      <c r="D295" s="11" t="s">
        <v>316</v>
      </c>
      <c r="E295" s="11" t="s">
        <v>317</v>
      </c>
      <c r="F295" s="11" t="n">
        <v>2</v>
      </c>
      <c r="G295" s="11" t="s">
        <v>305</v>
      </c>
      <c r="H295" s="11" t="s">
        <v>298</v>
      </c>
    </row>
    <row r="296" customFormat="false" ht="15" hidden="false" customHeight="false" outlineLevel="0" collapsed="false">
      <c r="A296" s="14" t="n">
        <v>45952</v>
      </c>
      <c r="B296" s="10" t="n">
        <v>2025</v>
      </c>
      <c r="C296" s="10" t="n">
        <v>10</v>
      </c>
      <c r="D296" s="10" t="s">
        <v>316</v>
      </c>
      <c r="E296" s="10" t="s">
        <v>317</v>
      </c>
      <c r="F296" s="10" t="n">
        <v>3</v>
      </c>
      <c r="G296" s="10" t="s">
        <v>297</v>
      </c>
      <c r="H296" s="10" t="s">
        <v>298</v>
      </c>
    </row>
    <row r="297" customFormat="false" ht="15" hidden="false" customHeight="false" outlineLevel="0" collapsed="false">
      <c r="A297" s="15" t="n">
        <v>45953</v>
      </c>
      <c r="B297" s="11" t="n">
        <v>2025</v>
      </c>
      <c r="C297" s="11" t="n">
        <v>10</v>
      </c>
      <c r="D297" s="11" t="s">
        <v>316</v>
      </c>
      <c r="E297" s="11" t="s">
        <v>317</v>
      </c>
      <c r="F297" s="11" t="n">
        <v>4</v>
      </c>
      <c r="G297" s="11" t="s">
        <v>299</v>
      </c>
      <c r="H297" s="11" t="s">
        <v>298</v>
      </c>
    </row>
    <row r="298" customFormat="false" ht="15" hidden="false" customHeight="false" outlineLevel="0" collapsed="false">
      <c r="A298" s="14" t="n">
        <v>45954</v>
      </c>
      <c r="B298" s="10" t="n">
        <v>2025</v>
      </c>
      <c r="C298" s="10" t="n">
        <v>10</v>
      </c>
      <c r="D298" s="10" t="s">
        <v>316</v>
      </c>
      <c r="E298" s="10" t="s">
        <v>317</v>
      </c>
      <c r="F298" s="10" t="n">
        <v>5</v>
      </c>
      <c r="G298" s="10" t="s">
        <v>300</v>
      </c>
      <c r="H298" s="10" t="s">
        <v>298</v>
      </c>
    </row>
    <row r="299" customFormat="false" ht="15" hidden="false" customHeight="false" outlineLevel="0" collapsed="false">
      <c r="A299" s="15" t="n">
        <v>45955</v>
      </c>
      <c r="B299" s="11" t="n">
        <v>2025</v>
      </c>
      <c r="C299" s="11" t="n">
        <v>10</v>
      </c>
      <c r="D299" s="11" t="s">
        <v>316</v>
      </c>
      <c r="E299" s="11" t="s">
        <v>317</v>
      </c>
      <c r="F299" s="11" t="n">
        <v>6</v>
      </c>
      <c r="G299" s="11" t="s">
        <v>301</v>
      </c>
      <c r="H299" s="11" t="s">
        <v>302</v>
      </c>
    </row>
    <row r="300" customFormat="false" ht="15" hidden="false" customHeight="false" outlineLevel="0" collapsed="false">
      <c r="A300" s="14" t="n">
        <v>45956</v>
      </c>
      <c r="B300" s="10" t="n">
        <v>2025</v>
      </c>
      <c r="C300" s="10" t="n">
        <v>10</v>
      </c>
      <c r="D300" s="10" t="s">
        <v>316</v>
      </c>
      <c r="E300" s="10" t="s">
        <v>317</v>
      </c>
      <c r="F300" s="10" t="n">
        <v>7</v>
      </c>
      <c r="G300" s="10" t="s">
        <v>303</v>
      </c>
      <c r="H300" s="10" t="s">
        <v>302</v>
      </c>
    </row>
    <row r="301" customFormat="false" ht="15" hidden="false" customHeight="false" outlineLevel="0" collapsed="false">
      <c r="A301" s="15" t="n">
        <v>45957</v>
      </c>
      <c r="B301" s="11" t="n">
        <v>2025</v>
      </c>
      <c r="C301" s="11" t="n">
        <v>10</v>
      </c>
      <c r="D301" s="11" t="s">
        <v>316</v>
      </c>
      <c r="E301" s="11" t="s">
        <v>317</v>
      </c>
      <c r="F301" s="11" t="n">
        <v>1</v>
      </c>
      <c r="G301" s="11" t="s">
        <v>304</v>
      </c>
      <c r="H301" s="11" t="s">
        <v>298</v>
      </c>
    </row>
    <row r="302" customFormat="false" ht="15" hidden="false" customHeight="false" outlineLevel="0" collapsed="false">
      <c r="A302" s="14" t="n">
        <v>45958</v>
      </c>
      <c r="B302" s="10" t="n">
        <v>2025</v>
      </c>
      <c r="C302" s="10" t="n">
        <v>10</v>
      </c>
      <c r="D302" s="10" t="s">
        <v>316</v>
      </c>
      <c r="E302" s="10" t="s">
        <v>317</v>
      </c>
      <c r="F302" s="10" t="n">
        <v>2</v>
      </c>
      <c r="G302" s="10" t="s">
        <v>305</v>
      </c>
      <c r="H302" s="10" t="s">
        <v>298</v>
      </c>
    </row>
    <row r="303" customFormat="false" ht="15" hidden="false" customHeight="false" outlineLevel="0" collapsed="false">
      <c r="A303" s="15" t="n">
        <v>45959</v>
      </c>
      <c r="B303" s="11" t="n">
        <v>2025</v>
      </c>
      <c r="C303" s="11" t="n">
        <v>10</v>
      </c>
      <c r="D303" s="11" t="s">
        <v>316</v>
      </c>
      <c r="E303" s="11" t="s">
        <v>317</v>
      </c>
      <c r="F303" s="11" t="n">
        <v>3</v>
      </c>
      <c r="G303" s="11" t="s">
        <v>297</v>
      </c>
      <c r="H303" s="11" t="s">
        <v>298</v>
      </c>
    </row>
    <row r="304" customFormat="false" ht="15" hidden="false" customHeight="false" outlineLevel="0" collapsed="false">
      <c r="A304" s="14" t="n">
        <v>45960</v>
      </c>
      <c r="B304" s="10" t="n">
        <v>2025</v>
      </c>
      <c r="C304" s="10" t="n">
        <v>10</v>
      </c>
      <c r="D304" s="10" t="s">
        <v>316</v>
      </c>
      <c r="E304" s="10" t="s">
        <v>317</v>
      </c>
      <c r="F304" s="10" t="n">
        <v>4</v>
      </c>
      <c r="G304" s="10" t="s">
        <v>299</v>
      </c>
      <c r="H304" s="10" t="s">
        <v>298</v>
      </c>
    </row>
    <row r="305" customFormat="false" ht="15" hidden="false" customHeight="false" outlineLevel="0" collapsed="false">
      <c r="A305" s="15" t="n">
        <v>45961</v>
      </c>
      <c r="B305" s="11" t="n">
        <v>2025</v>
      </c>
      <c r="C305" s="11" t="n">
        <v>10</v>
      </c>
      <c r="D305" s="11" t="s">
        <v>316</v>
      </c>
      <c r="E305" s="11" t="s">
        <v>317</v>
      </c>
      <c r="F305" s="11" t="n">
        <v>5</v>
      </c>
      <c r="G305" s="11" t="s">
        <v>300</v>
      </c>
      <c r="H305" s="11" t="s">
        <v>298</v>
      </c>
    </row>
    <row r="306" customFormat="false" ht="15" hidden="false" customHeight="false" outlineLevel="0" collapsed="false">
      <c r="A306" s="14" t="n">
        <v>45962</v>
      </c>
      <c r="B306" s="10" t="n">
        <v>2025</v>
      </c>
      <c r="C306" s="10" t="n">
        <v>11</v>
      </c>
      <c r="D306" s="10" t="s">
        <v>318</v>
      </c>
      <c r="E306" s="10" t="s">
        <v>317</v>
      </c>
      <c r="F306" s="10" t="n">
        <v>6</v>
      </c>
      <c r="G306" s="10" t="s">
        <v>301</v>
      </c>
      <c r="H306" s="10" t="s">
        <v>302</v>
      </c>
    </row>
    <row r="307" customFormat="false" ht="15" hidden="false" customHeight="false" outlineLevel="0" collapsed="false">
      <c r="A307" s="15" t="n">
        <v>45963</v>
      </c>
      <c r="B307" s="11" t="n">
        <v>2025</v>
      </c>
      <c r="C307" s="11" t="n">
        <v>11</v>
      </c>
      <c r="D307" s="11" t="s">
        <v>318</v>
      </c>
      <c r="E307" s="11" t="s">
        <v>317</v>
      </c>
      <c r="F307" s="11" t="n">
        <v>7</v>
      </c>
      <c r="G307" s="11" t="s">
        <v>303</v>
      </c>
      <c r="H307" s="11" t="s">
        <v>302</v>
      </c>
    </row>
    <row r="308" customFormat="false" ht="15" hidden="false" customHeight="false" outlineLevel="0" collapsed="false">
      <c r="A308" s="14" t="n">
        <v>45964</v>
      </c>
      <c r="B308" s="10" t="n">
        <v>2025</v>
      </c>
      <c r="C308" s="10" t="n">
        <v>11</v>
      </c>
      <c r="D308" s="10" t="s">
        <v>318</v>
      </c>
      <c r="E308" s="10" t="s">
        <v>317</v>
      </c>
      <c r="F308" s="10" t="n">
        <v>1</v>
      </c>
      <c r="G308" s="10" t="s">
        <v>304</v>
      </c>
      <c r="H308" s="10" t="s">
        <v>298</v>
      </c>
    </row>
    <row r="309" customFormat="false" ht="15" hidden="false" customHeight="false" outlineLevel="0" collapsed="false">
      <c r="A309" s="15" t="n">
        <v>45965</v>
      </c>
      <c r="B309" s="11" t="n">
        <v>2025</v>
      </c>
      <c r="C309" s="11" t="n">
        <v>11</v>
      </c>
      <c r="D309" s="11" t="s">
        <v>318</v>
      </c>
      <c r="E309" s="11" t="s">
        <v>317</v>
      </c>
      <c r="F309" s="11" t="n">
        <v>2</v>
      </c>
      <c r="G309" s="11" t="s">
        <v>305</v>
      </c>
      <c r="H309" s="11" t="s">
        <v>298</v>
      </c>
    </row>
    <row r="310" customFormat="false" ht="15" hidden="false" customHeight="false" outlineLevel="0" collapsed="false">
      <c r="A310" s="14" t="n">
        <v>45966</v>
      </c>
      <c r="B310" s="10" t="n">
        <v>2025</v>
      </c>
      <c r="C310" s="10" t="n">
        <v>11</v>
      </c>
      <c r="D310" s="10" t="s">
        <v>318</v>
      </c>
      <c r="E310" s="10" t="s">
        <v>317</v>
      </c>
      <c r="F310" s="10" t="n">
        <v>3</v>
      </c>
      <c r="G310" s="10" t="s">
        <v>297</v>
      </c>
      <c r="H310" s="10" t="s">
        <v>298</v>
      </c>
    </row>
    <row r="311" customFormat="false" ht="15" hidden="false" customHeight="false" outlineLevel="0" collapsed="false">
      <c r="A311" s="15" t="n">
        <v>45967</v>
      </c>
      <c r="B311" s="11" t="n">
        <v>2025</v>
      </c>
      <c r="C311" s="11" t="n">
        <v>11</v>
      </c>
      <c r="D311" s="11" t="s">
        <v>318</v>
      </c>
      <c r="E311" s="11" t="s">
        <v>317</v>
      </c>
      <c r="F311" s="11" t="n">
        <v>4</v>
      </c>
      <c r="G311" s="11" t="s">
        <v>299</v>
      </c>
      <c r="H311" s="11" t="s">
        <v>298</v>
      </c>
    </row>
    <row r="312" customFormat="false" ht="15" hidden="false" customHeight="false" outlineLevel="0" collapsed="false">
      <c r="A312" s="14" t="n">
        <v>45968</v>
      </c>
      <c r="B312" s="10" t="n">
        <v>2025</v>
      </c>
      <c r="C312" s="10" t="n">
        <v>11</v>
      </c>
      <c r="D312" s="10" t="s">
        <v>318</v>
      </c>
      <c r="E312" s="10" t="s">
        <v>317</v>
      </c>
      <c r="F312" s="10" t="n">
        <v>5</v>
      </c>
      <c r="G312" s="10" t="s">
        <v>300</v>
      </c>
      <c r="H312" s="10" t="s">
        <v>298</v>
      </c>
    </row>
    <row r="313" customFormat="false" ht="15" hidden="false" customHeight="false" outlineLevel="0" collapsed="false">
      <c r="A313" s="15" t="n">
        <v>45969</v>
      </c>
      <c r="B313" s="11" t="n">
        <v>2025</v>
      </c>
      <c r="C313" s="11" t="n">
        <v>11</v>
      </c>
      <c r="D313" s="11" t="s">
        <v>318</v>
      </c>
      <c r="E313" s="11" t="s">
        <v>317</v>
      </c>
      <c r="F313" s="11" t="n">
        <v>6</v>
      </c>
      <c r="G313" s="11" t="s">
        <v>301</v>
      </c>
      <c r="H313" s="11" t="s">
        <v>302</v>
      </c>
    </row>
    <row r="314" customFormat="false" ht="15" hidden="false" customHeight="false" outlineLevel="0" collapsed="false">
      <c r="A314" s="14" t="n">
        <v>45970</v>
      </c>
      <c r="B314" s="10" t="n">
        <v>2025</v>
      </c>
      <c r="C314" s="10" t="n">
        <v>11</v>
      </c>
      <c r="D314" s="10" t="s">
        <v>318</v>
      </c>
      <c r="E314" s="10" t="s">
        <v>317</v>
      </c>
      <c r="F314" s="10" t="n">
        <v>7</v>
      </c>
      <c r="G314" s="10" t="s">
        <v>303</v>
      </c>
      <c r="H314" s="10" t="s">
        <v>302</v>
      </c>
    </row>
    <row r="315" customFormat="false" ht="15" hidden="false" customHeight="false" outlineLevel="0" collapsed="false">
      <c r="A315" s="15" t="n">
        <v>45971</v>
      </c>
      <c r="B315" s="11" t="n">
        <v>2025</v>
      </c>
      <c r="C315" s="11" t="n">
        <v>11</v>
      </c>
      <c r="D315" s="11" t="s">
        <v>318</v>
      </c>
      <c r="E315" s="11" t="s">
        <v>317</v>
      </c>
      <c r="F315" s="11" t="n">
        <v>1</v>
      </c>
      <c r="G315" s="11" t="s">
        <v>304</v>
      </c>
      <c r="H315" s="11" t="s">
        <v>298</v>
      </c>
    </row>
    <row r="316" customFormat="false" ht="15" hidden="false" customHeight="false" outlineLevel="0" collapsed="false">
      <c r="A316" s="14" t="n">
        <v>45972</v>
      </c>
      <c r="B316" s="10" t="n">
        <v>2025</v>
      </c>
      <c r="C316" s="10" t="n">
        <v>11</v>
      </c>
      <c r="D316" s="10" t="s">
        <v>318</v>
      </c>
      <c r="E316" s="10" t="s">
        <v>317</v>
      </c>
      <c r="F316" s="10" t="n">
        <v>2</v>
      </c>
      <c r="G316" s="10" t="s">
        <v>305</v>
      </c>
      <c r="H316" s="10" t="s">
        <v>298</v>
      </c>
    </row>
    <row r="317" customFormat="false" ht="15" hidden="false" customHeight="false" outlineLevel="0" collapsed="false">
      <c r="A317" s="15" t="n">
        <v>45973</v>
      </c>
      <c r="B317" s="11" t="n">
        <v>2025</v>
      </c>
      <c r="C317" s="11" t="n">
        <v>11</v>
      </c>
      <c r="D317" s="11" t="s">
        <v>318</v>
      </c>
      <c r="E317" s="11" t="s">
        <v>317</v>
      </c>
      <c r="F317" s="11" t="n">
        <v>3</v>
      </c>
      <c r="G317" s="11" t="s">
        <v>297</v>
      </c>
      <c r="H317" s="11" t="s">
        <v>298</v>
      </c>
    </row>
    <row r="318" customFormat="false" ht="15" hidden="false" customHeight="false" outlineLevel="0" collapsed="false">
      <c r="A318" s="14" t="n">
        <v>45974</v>
      </c>
      <c r="B318" s="10" t="n">
        <v>2025</v>
      </c>
      <c r="C318" s="10" t="n">
        <v>11</v>
      </c>
      <c r="D318" s="10" t="s">
        <v>318</v>
      </c>
      <c r="E318" s="10" t="s">
        <v>317</v>
      </c>
      <c r="F318" s="10" t="n">
        <v>4</v>
      </c>
      <c r="G318" s="10" t="s">
        <v>299</v>
      </c>
      <c r="H318" s="10" t="s">
        <v>298</v>
      </c>
    </row>
    <row r="319" customFormat="false" ht="15" hidden="false" customHeight="false" outlineLevel="0" collapsed="false">
      <c r="A319" s="15" t="n">
        <v>45975</v>
      </c>
      <c r="B319" s="11" t="n">
        <v>2025</v>
      </c>
      <c r="C319" s="11" t="n">
        <v>11</v>
      </c>
      <c r="D319" s="11" t="s">
        <v>318</v>
      </c>
      <c r="E319" s="11" t="s">
        <v>317</v>
      </c>
      <c r="F319" s="11" t="n">
        <v>5</v>
      </c>
      <c r="G319" s="11" t="s">
        <v>300</v>
      </c>
      <c r="H319" s="11" t="s">
        <v>298</v>
      </c>
    </row>
    <row r="320" customFormat="false" ht="15" hidden="false" customHeight="false" outlineLevel="0" collapsed="false">
      <c r="A320" s="14" t="n">
        <v>45976</v>
      </c>
      <c r="B320" s="10" t="n">
        <v>2025</v>
      </c>
      <c r="C320" s="10" t="n">
        <v>11</v>
      </c>
      <c r="D320" s="10" t="s">
        <v>318</v>
      </c>
      <c r="E320" s="10" t="s">
        <v>317</v>
      </c>
      <c r="F320" s="10" t="n">
        <v>6</v>
      </c>
      <c r="G320" s="10" t="s">
        <v>301</v>
      </c>
      <c r="H320" s="10" t="s">
        <v>302</v>
      </c>
    </row>
    <row r="321" customFormat="false" ht="15" hidden="false" customHeight="false" outlineLevel="0" collapsed="false">
      <c r="A321" s="15" t="n">
        <v>45977</v>
      </c>
      <c r="B321" s="11" t="n">
        <v>2025</v>
      </c>
      <c r="C321" s="11" t="n">
        <v>11</v>
      </c>
      <c r="D321" s="11" t="s">
        <v>318</v>
      </c>
      <c r="E321" s="11" t="s">
        <v>317</v>
      </c>
      <c r="F321" s="11" t="n">
        <v>7</v>
      </c>
      <c r="G321" s="11" t="s">
        <v>303</v>
      </c>
      <c r="H321" s="11" t="s">
        <v>302</v>
      </c>
    </row>
    <row r="322" customFormat="false" ht="15" hidden="false" customHeight="false" outlineLevel="0" collapsed="false">
      <c r="A322" s="14" t="n">
        <v>45978</v>
      </c>
      <c r="B322" s="10" t="n">
        <v>2025</v>
      </c>
      <c r="C322" s="10" t="n">
        <v>11</v>
      </c>
      <c r="D322" s="10" t="s">
        <v>318</v>
      </c>
      <c r="E322" s="10" t="s">
        <v>317</v>
      </c>
      <c r="F322" s="10" t="n">
        <v>1</v>
      </c>
      <c r="G322" s="10" t="s">
        <v>304</v>
      </c>
      <c r="H322" s="10" t="s">
        <v>298</v>
      </c>
    </row>
    <row r="323" customFormat="false" ht="15" hidden="false" customHeight="false" outlineLevel="0" collapsed="false">
      <c r="A323" s="15" t="n">
        <v>45979</v>
      </c>
      <c r="B323" s="11" t="n">
        <v>2025</v>
      </c>
      <c r="C323" s="11" t="n">
        <v>11</v>
      </c>
      <c r="D323" s="11" t="s">
        <v>318</v>
      </c>
      <c r="E323" s="11" t="s">
        <v>317</v>
      </c>
      <c r="F323" s="11" t="n">
        <v>2</v>
      </c>
      <c r="G323" s="11" t="s">
        <v>305</v>
      </c>
      <c r="H323" s="11" t="s">
        <v>298</v>
      </c>
    </row>
    <row r="324" customFormat="false" ht="15" hidden="false" customHeight="false" outlineLevel="0" collapsed="false">
      <c r="A324" s="14" t="n">
        <v>45980</v>
      </c>
      <c r="B324" s="10" t="n">
        <v>2025</v>
      </c>
      <c r="C324" s="10" t="n">
        <v>11</v>
      </c>
      <c r="D324" s="10" t="s">
        <v>318</v>
      </c>
      <c r="E324" s="10" t="s">
        <v>317</v>
      </c>
      <c r="F324" s="10" t="n">
        <v>3</v>
      </c>
      <c r="G324" s="10" t="s">
        <v>297</v>
      </c>
      <c r="H324" s="10" t="s">
        <v>298</v>
      </c>
    </row>
    <row r="325" customFormat="false" ht="15" hidden="false" customHeight="false" outlineLevel="0" collapsed="false">
      <c r="A325" s="15" t="n">
        <v>45981</v>
      </c>
      <c r="B325" s="11" t="n">
        <v>2025</v>
      </c>
      <c r="C325" s="11" t="n">
        <v>11</v>
      </c>
      <c r="D325" s="11" t="s">
        <v>318</v>
      </c>
      <c r="E325" s="11" t="s">
        <v>317</v>
      </c>
      <c r="F325" s="11" t="n">
        <v>4</v>
      </c>
      <c r="G325" s="11" t="s">
        <v>299</v>
      </c>
      <c r="H325" s="11" t="s">
        <v>298</v>
      </c>
    </row>
    <row r="326" customFormat="false" ht="15" hidden="false" customHeight="false" outlineLevel="0" collapsed="false">
      <c r="A326" s="14" t="n">
        <v>45982</v>
      </c>
      <c r="B326" s="10" t="n">
        <v>2025</v>
      </c>
      <c r="C326" s="10" t="n">
        <v>11</v>
      </c>
      <c r="D326" s="10" t="s">
        <v>318</v>
      </c>
      <c r="E326" s="10" t="s">
        <v>317</v>
      </c>
      <c r="F326" s="10" t="n">
        <v>5</v>
      </c>
      <c r="G326" s="10" t="s">
        <v>300</v>
      </c>
      <c r="H326" s="10" t="s">
        <v>298</v>
      </c>
    </row>
    <row r="327" customFormat="false" ht="15" hidden="false" customHeight="false" outlineLevel="0" collapsed="false">
      <c r="A327" s="15" t="n">
        <v>45983</v>
      </c>
      <c r="B327" s="11" t="n">
        <v>2025</v>
      </c>
      <c r="C327" s="11" t="n">
        <v>11</v>
      </c>
      <c r="D327" s="11" t="s">
        <v>318</v>
      </c>
      <c r="E327" s="11" t="s">
        <v>317</v>
      </c>
      <c r="F327" s="11" t="n">
        <v>6</v>
      </c>
      <c r="G327" s="11" t="s">
        <v>301</v>
      </c>
      <c r="H327" s="11" t="s">
        <v>302</v>
      </c>
    </row>
    <row r="328" customFormat="false" ht="15" hidden="false" customHeight="false" outlineLevel="0" collapsed="false">
      <c r="A328" s="14" t="n">
        <v>45984</v>
      </c>
      <c r="B328" s="10" t="n">
        <v>2025</v>
      </c>
      <c r="C328" s="10" t="n">
        <v>11</v>
      </c>
      <c r="D328" s="10" t="s">
        <v>318</v>
      </c>
      <c r="E328" s="10" t="s">
        <v>317</v>
      </c>
      <c r="F328" s="10" t="n">
        <v>7</v>
      </c>
      <c r="G328" s="10" t="s">
        <v>303</v>
      </c>
      <c r="H328" s="10" t="s">
        <v>302</v>
      </c>
    </row>
    <row r="329" customFormat="false" ht="15" hidden="false" customHeight="false" outlineLevel="0" collapsed="false">
      <c r="A329" s="15" t="n">
        <v>45985</v>
      </c>
      <c r="B329" s="11" t="n">
        <v>2025</v>
      </c>
      <c r="C329" s="11" t="n">
        <v>11</v>
      </c>
      <c r="D329" s="11" t="s">
        <v>318</v>
      </c>
      <c r="E329" s="11" t="s">
        <v>317</v>
      </c>
      <c r="F329" s="11" t="n">
        <v>1</v>
      </c>
      <c r="G329" s="11" t="s">
        <v>304</v>
      </c>
      <c r="H329" s="11" t="s">
        <v>298</v>
      </c>
    </row>
    <row r="330" customFormat="false" ht="15" hidden="false" customHeight="false" outlineLevel="0" collapsed="false">
      <c r="A330" s="14" t="n">
        <v>45986</v>
      </c>
      <c r="B330" s="10" t="n">
        <v>2025</v>
      </c>
      <c r="C330" s="10" t="n">
        <v>11</v>
      </c>
      <c r="D330" s="10" t="s">
        <v>318</v>
      </c>
      <c r="E330" s="10" t="s">
        <v>317</v>
      </c>
      <c r="F330" s="10" t="n">
        <v>2</v>
      </c>
      <c r="G330" s="10" t="s">
        <v>305</v>
      </c>
      <c r="H330" s="10" t="s">
        <v>298</v>
      </c>
    </row>
    <row r="331" customFormat="false" ht="15" hidden="false" customHeight="false" outlineLevel="0" collapsed="false">
      <c r="A331" s="15" t="n">
        <v>45987</v>
      </c>
      <c r="B331" s="11" t="n">
        <v>2025</v>
      </c>
      <c r="C331" s="11" t="n">
        <v>11</v>
      </c>
      <c r="D331" s="11" t="s">
        <v>318</v>
      </c>
      <c r="E331" s="11" t="s">
        <v>317</v>
      </c>
      <c r="F331" s="11" t="n">
        <v>3</v>
      </c>
      <c r="G331" s="11" t="s">
        <v>297</v>
      </c>
      <c r="H331" s="11" t="s">
        <v>298</v>
      </c>
    </row>
    <row r="332" customFormat="false" ht="15" hidden="false" customHeight="false" outlineLevel="0" collapsed="false">
      <c r="A332" s="14" t="n">
        <v>45988</v>
      </c>
      <c r="B332" s="10" t="n">
        <v>2025</v>
      </c>
      <c r="C332" s="10" t="n">
        <v>11</v>
      </c>
      <c r="D332" s="10" t="s">
        <v>318</v>
      </c>
      <c r="E332" s="10" t="s">
        <v>317</v>
      </c>
      <c r="F332" s="10" t="n">
        <v>4</v>
      </c>
      <c r="G332" s="10" t="s">
        <v>299</v>
      </c>
      <c r="H332" s="10" t="s">
        <v>298</v>
      </c>
    </row>
    <row r="333" customFormat="false" ht="15" hidden="false" customHeight="false" outlineLevel="0" collapsed="false">
      <c r="A333" s="15" t="n">
        <v>45989</v>
      </c>
      <c r="B333" s="11" t="n">
        <v>2025</v>
      </c>
      <c r="C333" s="11" t="n">
        <v>11</v>
      </c>
      <c r="D333" s="11" t="s">
        <v>318</v>
      </c>
      <c r="E333" s="11" t="s">
        <v>317</v>
      </c>
      <c r="F333" s="11" t="n">
        <v>5</v>
      </c>
      <c r="G333" s="11" t="s">
        <v>300</v>
      </c>
      <c r="H333" s="11" t="s">
        <v>298</v>
      </c>
    </row>
    <row r="334" customFormat="false" ht="15" hidden="false" customHeight="false" outlineLevel="0" collapsed="false">
      <c r="A334" s="14" t="n">
        <v>45990</v>
      </c>
      <c r="B334" s="10" t="n">
        <v>2025</v>
      </c>
      <c r="C334" s="10" t="n">
        <v>11</v>
      </c>
      <c r="D334" s="10" t="s">
        <v>318</v>
      </c>
      <c r="E334" s="10" t="s">
        <v>317</v>
      </c>
      <c r="F334" s="10" t="n">
        <v>6</v>
      </c>
      <c r="G334" s="10" t="s">
        <v>301</v>
      </c>
      <c r="H334" s="10" t="s">
        <v>302</v>
      </c>
    </row>
    <row r="335" customFormat="false" ht="15" hidden="false" customHeight="false" outlineLevel="0" collapsed="false">
      <c r="A335" s="15" t="n">
        <v>45991</v>
      </c>
      <c r="B335" s="11" t="n">
        <v>2025</v>
      </c>
      <c r="C335" s="11" t="n">
        <v>11</v>
      </c>
      <c r="D335" s="11" t="s">
        <v>318</v>
      </c>
      <c r="E335" s="11" t="s">
        <v>317</v>
      </c>
      <c r="F335" s="11" t="n">
        <v>7</v>
      </c>
      <c r="G335" s="11" t="s">
        <v>303</v>
      </c>
      <c r="H335" s="11" t="s">
        <v>302</v>
      </c>
    </row>
    <row r="336" customFormat="false" ht="15" hidden="false" customHeight="false" outlineLevel="0" collapsed="false">
      <c r="A336" s="14" t="n">
        <v>45992</v>
      </c>
      <c r="B336" s="10" t="n">
        <v>2025</v>
      </c>
      <c r="C336" s="10" t="n">
        <v>12</v>
      </c>
      <c r="D336" s="10" t="s">
        <v>319</v>
      </c>
      <c r="E336" s="10" t="s">
        <v>317</v>
      </c>
      <c r="F336" s="10" t="n">
        <v>1</v>
      </c>
      <c r="G336" s="10" t="s">
        <v>304</v>
      </c>
      <c r="H336" s="10" t="s">
        <v>298</v>
      </c>
    </row>
    <row r="337" customFormat="false" ht="15" hidden="false" customHeight="false" outlineLevel="0" collapsed="false">
      <c r="A337" s="15" t="n">
        <v>45993</v>
      </c>
      <c r="B337" s="11" t="n">
        <v>2025</v>
      </c>
      <c r="C337" s="11" t="n">
        <v>12</v>
      </c>
      <c r="D337" s="11" t="s">
        <v>319</v>
      </c>
      <c r="E337" s="11" t="s">
        <v>317</v>
      </c>
      <c r="F337" s="11" t="n">
        <v>2</v>
      </c>
      <c r="G337" s="11" t="s">
        <v>305</v>
      </c>
      <c r="H337" s="11" t="s">
        <v>298</v>
      </c>
    </row>
    <row r="338" customFormat="false" ht="15" hidden="false" customHeight="false" outlineLevel="0" collapsed="false">
      <c r="A338" s="14" t="n">
        <v>45994</v>
      </c>
      <c r="B338" s="10" t="n">
        <v>2025</v>
      </c>
      <c r="C338" s="10" t="n">
        <v>12</v>
      </c>
      <c r="D338" s="10" t="s">
        <v>319</v>
      </c>
      <c r="E338" s="10" t="s">
        <v>317</v>
      </c>
      <c r="F338" s="10" t="n">
        <v>3</v>
      </c>
      <c r="G338" s="10" t="s">
        <v>297</v>
      </c>
      <c r="H338" s="10" t="s">
        <v>298</v>
      </c>
    </row>
    <row r="339" customFormat="false" ht="15" hidden="false" customHeight="false" outlineLevel="0" collapsed="false">
      <c r="A339" s="15" t="n">
        <v>45995</v>
      </c>
      <c r="B339" s="11" t="n">
        <v>2025</v>
      </c>
      <c r="C339" s="11" t="n">
        <v>12</v>
      </c>
      <c r="D339" s="11" t="s">
        <v>319</v>
      </c>
      <c r="E339" s="11" t="s">
        <v>317</v>
      </c>
      <c r="F339" s="11" t="n">
        <v>4</v>
      </c>
      <c r="G339" s="11" t="s">
        <v>299</v>
      </c>
      <c r="H339" s="11" t="s">
        <v>298</v>
      </c>
    </row>
    <row r="340" customFormat="false" ht="15" hidden="false" customHeight="false" outlineLevel="0" collapsed="false">
      <c r="A340" s="14" t="n">
        <v>45996</v>
      </c>
      <c r="B340" s="10" t="n">
        <v>2025</v>
      </c>
      <c r="C340" s="10" t="n">
        <v>12</v>
      </c>
      <c r="D340" s="10" t="s">
        <v>319</v>
      </c>
      <c r="E340" s="10" t="s">
        <v>317</v>
      </c>
      <c r="F340" s="10" t="n">
        <v>5</v>
      </c>
      <c r="G340" s="10" t="s">
        <v>300</v>
      </c>
      <c r="H340" s="10" t="s">
        <v>298</v>
      </c>
    </row>
    <row r="341" customFormat="false" ht="15" hidden="false" customHeight="false" outlineLevel="0" collapsed="false">
      <c r="A341" s="15" t="n">
        <v>45997</v>
      </c>
      <c r="B341" s="11" t="n">
        <v>2025</v>
      </c>
      <c r="C341" s="11" t="n">
        <v>12</v>
      </c>
      <c r="D341" s="11" t="s">
        <v>319</v>
      </c>
      <c r="E341" s="11" t="s">
        <v>317</v>
      </c>
      <c r="F341" s="11" t="n">
        <v>6</v>
      </c>
      <c r="G341" s="11" t="s">
        <v>301</v>
      </c>
      <c r="H341" s="11" t="s">
        <v>302</v>
      </c>
    </row>
    <row r="342" customFormat="false" ht="15" hidden="false" customHeight="false" outlineLevel="0" collapsed="false">
      <c r="A342" s="14" t="n">
        <v>45998</v>
      </c>
      <c r="B342" s="10" t="n">
        <v>2025</v>
      </c>
      <c r="C342" s="10" t="n">
        <v>12</v>
      </c>
      <c r="D342" s="10" t="s">
        <v>319</v>
      </c>
      <c r="E342" s="10" t="s">
        <v>317</v>
      </c>
      <c r="F342" s="10" t="n">
        <v>7</v>
      </c>
      <c r="G342" s="10" t="s">
        <v>303</v>
      </c>
      <c r="H342" s="10" t="s">
        <v>302</v>
      </c>
    </row>
    <row r="343" customFormat="false" ht="15" hidden="false" customHeight="false" outlineLevel="0" collapsed="false">
      <c r="A343" s="15" t="n">
        <v>45999</v>
      </c>
      <c r="B343" s="11" t="n">
        <v>2025</v>
      </c>
      <c r="C343" s="11" t="n">
        <v>12</v>
      </c>
      <c r="D343" s="11" t="s">
        <v>319</v>
      </c>
      <c r="E343" s="11" t="s">
        <v>317</v>
      </c>
      <c r="F343" s="11" t="n">
        <v>1</v>
      </c>
      <c r="G343" s="11" t="s">
        <v>304</v>
      </c>
      <c r="H343" s="11" t="s">
        <v>298</v>
      </c>
    </row>
    <row r="344" customFormat="false" ht="15" hidden="false" customHeight="false" outlineLevel="0" collapsed="false">
      <c r="A344" s="14" t="n">
        <v>46000</v>
      </c>
      <c r="B344" s="10" t="n">
        <v>2025</v>
      </c>
      <c r="C344" s="10" t="n">
        <v>12</v>
      </c>
      <c r="D344" s="10" t="s">
        <v>319</v>
      </c>
      <c r="E344" s="10" t="s">
        <v>317</v>
      </c>
      <c r="F344" s="10" t="n">
        <v>2</v>
      </c>
      <c r="G344" s="10" t="s">
        <v>305</v>
      </c>
      <c r="H344" s="10" t="s">
        <v>298</v>
      </c>
    </row>
    <row r="345" customFormat="false" ht="15" hidden="false" customHeight="false" outlineLevel="0" collapsed="false">
      <c r="A345" s="15" t="n">
        <v>46001</v>
      </c>
      <c r="B345" s="11" t="n">
        <v>2025</v>
      </c>
      <c r="C345" s="11" t="n">
        <v>12</v>
      </c>
      <c r="D345" s="11" t="s">
        <v>319</v>
      </c>
      <c r="E345" s="11" t="s">
        <v>317</v>
      </c>
      <c r="F345" s="11" t="n">
        <v>3</v>
      </c>
      <c r="G345" s="11" t="s">
        <v>297</v>
      </c>
      <c r="H345" s="11" t="s">
        <v>298</v>
      </c>
    </row>
    <row r="346" customFormat="false" ht="15" hidden="false" customHeight="false" outlineLevel="0" collapsed="false">
      <c r="A346" s="14" t="n">
        <v>46002</v>
      </c>
      <c r="B346" s="10" t="n">
        <v>2025</v>
      </c>
      <c r="C346" s="10" t="n">
        <v>12</v>
      </c>
      <c r="D346" s="10" t="s">
        <v>319</v>
      </c>
      <c r="E346" s="10" t="s">
        <v>317</v>
      </c>
      <c r="F346" s="10" t="n">
        <v>4</v>
      </c>
      <c r="G346" s="10" t="s">
        <v>299</v>
      </c>
      <c r="H346" s="10" t="s">
        <v>298</v>
      </c>
    </row>
    <row r="347" customFormat="false" ht="15" hidden="false" customHeight="false" outlineLevel="0" collapsed="false">
      <c r="A347" s="15" t="n">
        <v>46003</v>
      </c>
      <c r="B347" s="11" t="n">
        <v>2025</v>
      </c>
      <c r="C347" s="11" t="n">
        <v>12</v>
      </c>
      <c r="D347" s="11" t="s">
        <v>319</v>
      </c>
      <c r="E347" s="11" t="s">
        <v>317</v>
      </c>
      <c r="F347" s="11" t="n">
        <v>5</v>
      </c>
      <c r="G347" s="11" t="s">
        <v>300</v>
      </c>
      <c r="H347" s="11" t="s">
        <v>298</v>
      </c>
    </row>
    <row r="348" customFormat="false" ht="15" hidden="false" customHeight="false" outlineLevel="0" collapsed="false">
      <c r="A348" s="14" t="n">
        <v>46004</v>
      </c>
      <c r="B348" s="10" t="n">
        <v>2025</v>
      </c>
      <c r="C348" s="10" t="n">
        <v>12</v>
      </c>
      <c r="D348" s="10" t="s">
        <v>319</v>
      </c>
      <c r="E348" s="10" t="s">
        <v>317</v>
      </c>
      <c r="F348" s="10" t="n">
        <v>6</v>
      </c>
      <c r="G348" s="10" t="s">
        <v>301</v>
      </c>
      <c r="H348" s="10" t="s">
        <v>302</v>
      </c>
    </row>
    <row r="349" customFormat="false" ht="15" hidden="false" customHeight="false" outlineLevel="0" collapsed="false">
      <c r="A349" s="15" t="n">
        <v>46005</v>
      </c>
      <c r="B349" s="11" t="n">
        <v>2025</v>
      </c>
      <c r="C349" s="11" t="n">
        <v>12</v>
      </c>
      <c r="D349" s="11" t="s">
        <v>319</v>
      </c>
      <c r="E349" s="11" t="s">
        <v>317</v>
      </c>
      <c r="F349" s="11" t="n">
        <v>7</v>
      </c>
      <c r="G349" s="11" t="s">
        <v>303</v>
      </c>
      <c r="H349" s="11" t="s">
        <v>302</v>
      </c>
    </row>
    <row r="350" customFormat="false" ht="15" hidden="false" customHeight="false" outlineLevel="0" collapsed="false">
      <c r="A350" s="14" t="n">
        <v>46006</v>
      </c>
      <c r="B350" s="10" t="n">
        <v>2025</v>
      </c>
      <c r="C350" s="10" t="n">
        <v>12</v>
      </c>
      <c r="D350" s="10" t="s">
        <v>319</v>
      </c>
      <c r="E350" s="10" t="s">
        <v>317</v>
      </c>
      <c r="F350" s="10" t="n">
        <v>1</v>
      </c>
      <c r="G350" s="10" t="s">
        <v>304</v>
      </c>
      <c r="H350" s="10" t="s">
        <v>298</v>
      </c>
    </row>
    <row r="351" customFormat="false" ht="15" hidden="false" customHeight="false" outlineLevel="0" collapsed="false">
      <c r="A351" s="15" t="n">
        <v>46007</v>
      </c>
      <c r="B351" s="11" t="n">
        <v>2025</v>
      </c>
      <c r="C351" s="11" t="n">
        <v>12</v>
      </c>
      <c r="D351" s="11" t="s">
        <v>319</v>
      </c>
      <c r="E351" s="11" t="s">
        <v>317</v>
      </c>
      <c r="F351" s="11" t="n">
        <v>2</v>
      </c>
      <c r="G351" s="11" t="s">
        <v>305</v>
      </c>
      <c r="H351" s="11" t="s">
        <v>298</v>
      </c>
    </row>
    <row r="352" customFormat="false" ht="15" hidden="false" customHeight="false" outlineLevel="0" collapsed="false">
      <c r="A352" s="14" t="n">
        <v>46008</v>
      </c>
      <c r="B352" s="10" t="n">
        <v>2025</v>
      </c>
      <c r="C352" s="10" t="n">
        <v>12</v>
      </c>
      <c r="D352" s="10" t="s">
        <v>319</v>
      </c>
      <c r="E352" s="10" t="s">
        <v>317</v>
      </c>
      <c r="F352" s="10" t="n">
        <v>3</v>
      </c>
      <c r="G352" s="10" t="s">
        <v>297</v>
      </c>
      <c r="H352" s="10" t="s">
        <v>298</v>
      </c>
    </row>
    <row r="353" customFormat="false" ht="15" hidden="false" customHeight="false" outlineLevel="0" collapsed="false">
      <c r="A353" s="15" t="n">
        <v>46009</v>
      </c>
      <c r="B353" s="11" t="n">
        <v>2025</v>
      </c>
      <c r="C353" s="11" t="n">
        <v>12</v>
      </c>
      <c r="D353" s="11" t="s">
        <v>319</v>
      </c>
      <c r="E353" s="11" t="s">
        <v>317</v>
      </c>
      <c r="F353" s="11" t="n">
        <v>4</v>
      </c>
      <c r="G353" s="11" t="s">
        <v>299</v>
      </c>
      <c r="H353" s="11" t="s">
        <v>298</v>
      </c>
    </row>
    <row r="354" customFormat="false" ht="15" hidden="false" customHeight="false" outlineLevel="0" collapsed="false">
      <c r="A354" s="14" t="n">
        <v>46010</v>
      </c>
      <c r="B354" s="10" t="n">
        <v>2025</v>
      </c>
      <c r="C354" s="10" t="n">
        <v>12</v>
      </c>
      <c r="D354" s="10" t="s">
        <v>319</v>
      </c>
      <c r="E354" s="10" t="s">
        <v>317</v>
      </c>
      <c r="F354" s="10" t="n">
        <v>5</v>
      </c>
      <c r="G354" s="10" t="s">
        <v>300</v>
      </c>
      <c r="H354" s="10" t="s">
        <v>298</v>
      </c>
    </row>
    <row r="355" customFormat="false" ht="15" hidden="false" customHeight="false" outlineLevel="0" collapsed="false">
      <c r="A355" s="15" t="n">
        <v>46011</v>
      </c>
      <c r="B355" s="11" t="n">
        <v>2025</v>
      </c>
      <c r="C355" s="11" t="n">
        <v>12</v>
      </c>
      <c r="D355" s="11" t="s">
        <v>319</v>
      </c>
      <c r="E355" s="11" t="s">
        <v>317</v>
      </c>
      <c r="F355" s="11" t="n">
        <v>6</v>
      </c>
      <c r="G355" s="11" t="s">
        <v>301</v>
      </c>
      <c r="H355" s="11" t="s">
        <v>302</v>
      </c>
    </row>
    <row r="356" customFormat="false" ht="15" hidden="false" customHeight="false" outlineLevel="0" collapsed="false">
      <c r="A356" s="14" t="n">
        <v>46012</v>
      </c>
      <c r="B356" s="10" t="n">
        <v>2025</v>
      </c>
      <c r="C356" s="10" t="n">
        <v>12</v>
      </c>
      <c r="D356" s="10" t="s">
        <v>319</v>
      </c>
      <c r="E356" s="10" t="s">
        <v>317</v>
      </c>
      <c r="F356" s="10" t="n">
        <v>7</v>
      </c>
      <c r="G356" s="10" t="s">
        <v>303</v>
      </c>
      <c r="H356" s="10" t="s">
        <v>302</v>
      </c>
    </row>
    <row r="357" customFormat="false" ht="15" hidden="false" customHeight="false" outlineLevel="0" collapsed="false">
      <c r="A357" s="15" t="n">
        <v>46013</v>
      </c>
      <c r="B357" s="11" t="n">
        <v>2025</v>
      </c>
      <c r="C357" s="11" t="n">
        <v>12</v>
      </c>
      <c r="D357" s="11" t="s">
        <v>319</v>
      </c>
      <c r="E357" s="11" t="s">
        <v>317</v>
      </c>
      <c r="F357" s="11" t="n">
        <v>1</v>
      </c>
      <c r="G357" s="11" t="s">
        <v>304</v>
      </c>
      <c r="H357" s="11" t="s">
        <v>298</v>
      </c>
    </row>
    <row r="358" customFormat="false" ht="15" hidden="false" customHeight="false" outlineLevel="0" collapsed="false">
      <c r="A358" s="14" t="n">
        <v>46014</v>
      </c>
      <c r="B358" s="10" t="n">
        <v>2025</v>
      </c>
      <c r="C358" s="10" t="n">
        <v>12</v>
      </c>
      <c r="D358" s="10" t="s">
        <v>319</v>
      </c>
      <c r="E358" s="10" t="s">
        <v>317</v>
      </c>
      <c r="F358" s="10" t="n">
        <v>2</v>
      </c>
      <c r="G358" s="10" t="s">
        <v>305</v>
      </c>
      <c r="H358" s="10" t="s">
        <v>298</v>
      </c>
    </row>
    <row r="359" customFormat="false" ht="15" hidden="false" customHeight="false" outlineLevel="0" collapsed="false">
      <c r="A359" s="15" t="n">
        <v>46015</v>
      </c>
      <c r="B359" s="11" t="n">
        <v>2025</v>
      </c>
      <c r="C359" s="11" t="n">
        <v>12</v>
      </c>
      <c r="D359" s="11" t="s">
        <v>319</v>
      </c>
      <c r="E359" s="11" t="s">
        <v>317</v>
      </c>
      <c r="F359" s="11" t="n">
        <v>3</v>
      </c>
      <c r="G359" s="11" t="s">
        <v>297</v>
      </c>
      <c r="H359" s="11" t="s">
        <v>298</v>
      </c>
    </row>
    <row r="360" customFormat="false" ht="15" hidden="false" customHeight="false" outlineLevel="0" collapsed="false">
      <c r="A360" s="14" t="n">
        <v>46016</v>
      </c>
      <c r="B360" s="10" t="n">
        <v>2025</v>
      </c>
      <c r="C360" s="10" t="n">
        <v>12</v>
      </c>
      <c r="D360" s="10" t="s">
        <v>319</v>
      </c>
      <c r="E360" s="10" t="s">
        <v>317</v>
      </c>
      <c r="F360" s="10" t="n">
        <v>4</v>
      </c>
      <c r="G360" s="10" t="s">
        <v>299</v>
      </c>
      <c r="H360" s="10" t="s">
        <v>298</v>
      </c>
    </row>
    <row r="361" customFormat="false" ht="15" hidden="false" customHeight="false" outlineLevel="0" collapsed="false">
      <c r="A361" s="15" t="n">
        <v>46017</v>
      </c>
      <c r="B361" s="11" t="n">
        <v>2025</v>
      </c>
      <c r="C361" s="11" t="n">
        <v>12</v>
      </c>
      <c r="D361" s="11" t="s">
        <v>319</v>
      </c>
      <c r="E361" s="11" t="s">
        <v>317</v>
      </c>
      <c r="F361" s="11" t="n">
        <v>5</v>
      </c>
      <c r="G361" s="11" t="s">
        <v>300</v>
      </c>
      <c r="H361" s="11" t="s">
        <v>298</v>
      </c>
    </row>
    <row r="362" customFormat="false" ht="15" hidden="false" customHeight="false" outlineLevel="0" collapsed="false">
      <c r="A362" s="14" t="n">
        <v>46018</v>
      </c>
      <c r="B362" s="10" t="n">
        <v>2025</v>
      </c>
      <c r="C362" s="10" t="n">
        <v>12</v>
      </c>
      <c r="D362" s="10" t="s">
        <v>319</v>
      </c>
      <c r="E362" s="10" t="s">
        <v>317</v>
      </c>
      <c r="F362" s="10" t="n">
        <v>6</v>
      </c>
      <c r="G362" s="10" t="s">
        <v>301</v>
      </c>
      <c r="H362" s="10" t="s">
        <v>302</v>
      </c>
    </row>
    <row r="363" customFormat="false" ht="15" hidden="false" customHeight="false" outlineLevel="0" collapsed="false">
      <c r="A363" s="15" t="n">
        <v>46019</v>
      </c>
      <c r="B363" s="11" t="n">
        <v>2025</v>
      </c>
      <c r="C363" s="11" t="n">
        <v>12</v>
      </c>
      <c r="D363" s="11" t="s">
        <v>319</v>
      </c>
      <c r="E363" s="11" t="s">
        <v>317</v>
      </c>
      <c r="F363" s="11" t="n">
        <v>7</v>
      </c>
      <c r="G363" s="11" t="s">
        <v>303</v>
      </c>
      <c r="H363" s="11" t="s">
        <v>302</v>
      </c>
    </row>
    <row r="364" customFormat="false" ht="15" hidden="false" customHeight="false" outlineLevel="0" collapsed="false">
      <c r="A364" s="14" t="n">
        <v>46020</v>
      </c>
      <c r="B364" s="10" t="n">
        <v>2025</v>
      </c>
      <c r="C364" s="10" t="n">
        <v>12</v>
      </c>
      <c r="D364" s="10" t="s">
        <v>319</v>
      </c>
      <c r="E364" s="10" t="s">
        <v>317</v>
      </c>
      <c r="F364" s="10" t="n">
        <v>1</v>
      </c>
      <c r="G364" s="10" t="s">
        <v>304</v>
      </c>
      <c r="H364" s="10" t="s">
        <v>298</v>
      </c>
    </row>
    <row r="365" customFormat="false" ht="15" hidden="false" customHeight="false" outlineLevel="0" collapsed="false">
      <c r="A365" s="15" t="n">
        <v>46021</v>
      </c>
      <c r="B365" s="11" t="n">
        <v>2025</v>
      </c>
      <c r="C365" s="11" t="n">
        <v>12</v>
      </c>
      <c r="D365" s="11" t="s">
        <v>319</v>
      </c>
      <c r="E365" s="11" t="s">
        <v>317</v>
      </c>
      <c r="F365" s="11" t="n">
        <v>2</v>
      </c>
      <c r="G365" s="11" t="s">
        <v>305</v>
      </c>
      <c r="H365" s="11" t="s">
        <v>298</v>
      </c>
    </row>
    <row r="366" customFormat="false" ht="15" hidden="false" customHeight="false" outlineLevel="0" collapsed="false">
      <c r="A366" s="14" t="n">
        <v>46022</v>
      </c>
      <c r="B366" s="10" t="n">
        <v>2025</v>
      </c>
      <c r="C366" s="10" t="n">
        <v>12</v>
      </c>
      <c r="D366" s="10" t="s">
        <v>319</v>
      </c>
      <c r="E366" s="10" t="s">
        <v>317</v>
      </c>
      <c r="F366" s="10" t="n">
        <v>3</v>
      </c>
      <c r="G366" s="10" t="s">
        <v>297</v>
      </c>
      <c r="H366" s="10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A1:K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5" t="s">
        <v>320</v>
      </c>
      <c r="B1" s="5" t="s">
        <v>287</v>
      </c>
      <c r="C1" s="5" t="s">
        <v>52</v>
      </c>
      <c r="D1" s="5" t="s">
        <v>262</v>
      </c>
      <c r="E1" s="5" t="s">
        <v>131</v>
      </c>
      <c r="F1" s="5" t="s">
        <v>80</v>
      </c>
      <c r="G1" s="5" t="s">
        <v>321</v>
      </c>
      <c r="H1" s="5" t="s">
        <v>322</v>
      </c>
      <c r="I1" s="5" t="s">
        <v>323</v>
      </c>
      <c r="J1" s="5" t="s">
        <v>324</v>
      </c>
      <c r="K1" s="5" t="s">
        <v>325</v>
      </c>
    </row>
    <row r="2" customFormat="false" ht="15" hidden="false" customHeight="false" outlineLevel="0" collapsed="false">
      <c r="A2" s="11" t="n">
        <v>1</v>
      </c>
      <c r="B2" s="15" t="n">
        <v>45658</v>
      </c>
      <c r="C2" s="11" t="n">
        <v>1</v>
      </c>
      <c r="D2" s="11" t="n">
        <v>3</v>
      </c>
      <c r="E2" s="11" t="n">
        <v>44</v>
      </c>
      <c r="F2" s="11" t="n">
        <v>15</v>
      </c>
      <c r="G2" s="11" t="n">
        <v>1</v>
      </c>
      <c r="H2" s="13" t="n">
        <v>65</v>
      </c>
      <c r="I2" s="16" t="n">
        <v>0</v>
      </c>
      <c r="J2" s="13" t="n">
        <f aca="false">G2*H2</f>
        <v>65</v>
      </c>
      <c r="K2" s="13" t="n">
        <f aca="false">J2*(1-I2)</f>
        <v>65</v>
      </c>
    </row>
    <row r="3" customFormat="false" ht="15" hidden="false" customHeight="false" outlineLevel="0" collapsed="false">
      <c r="A3" s="11" t="n">
        <v>2</v>
      </c>
      <c r="B3" s="15" t="n">
        <v>45658</v>
      </c>
      <c r="C3" s="11" t="n">
        <v>2</v>
      </c>
      <c r="D3" s="11" t="n">
        <v>4</v>
      </c>
      <c r="E3" s="11" t="n">
        <v>44</v>
      </c>
      <c r="F3" s="11" t="n">
        <v>3</v>
      </c>
      <c r="G3" s="11" t="n">
        <v>1</v>
      </c>
      <c r="H3" s="13" t="n">
        <v>38</v>
      </c>
      <c r="I3" s="16" t="n">
        <v>0.05</v>
      </c>
      <c r="J3" s="13" t="n">
        <f aca="false">G3*H3</f>
        <v>38</v>
      </c>
      <c r="K3" s="13" t="n">
        <f aca="false">J3*(1-I3)</f>
        <v>36.1</v>
      </c>
    </row>
    <row r="4" customFormat="false" ht="15" hidden="false" customHeight="false" outlineLevel="0" collapsed="false">
      <c r="A4" s="11" t="n">
        <v>3</v>
      </c>
      <c r="B4" s="15" t="n">
        <v>45659</v>
      </c>
      <c r="C4" s="11" t="n">
        <v>2</v>
      </c>
      <c r="D4" s="11" t="n">
        <v>5</v>
      </c>
      <c r="E4" s="11" t="n">
        <v>46</v>
      </c>
      <c r="F4" s="11" t="n">
        <v>7</v>
      </c>
      <c r="G4" s="11" t="n">
        <v>1</v>
      </c>
      <c r="H4" s="13" t="n">
        <v>50</v>
      </c>
      <c r="I4" s="16" t="n">
        <v>0.05</v>
      </c>
      <c r="J4" s="13" t="n">
        <f aca="false">G4*H4</f>
        <v>50</v>
      </c>
      <c r="K4" s="13" t="n">
        <f aca="false">J4*(1-I4)</f>
        <v>47.5</v>
      </c>
    </row>
    <row r="5" customFormat="false" ht="15" hidden="false" customHeight="false" outlineLevel="0" collapsed="false">
      <c r="A5" s="11" t="n">
        <v>4</v>
      </c>
      <c r="B5" s="15" t="n">
        <v>45660</v>
      </c>
      <c r="C5" s="11" t="n">
        <v>1</v>
      </c>
      <c r="D5" s="11" t="n">
        <v>3</v>
      </c>
      <c r="E5" s="11" t="n">
        <v>28</v>
      </c>
      <c r="F5" s="11" t="n">
        <v>16</v>
      </c>
      <c r="G5" s="11" t="n">
        <v>2</v>
      </c>
      <c r="H5" s="13" t="n">
        <v>45</v>
      </c>
      <c r="I5" s="16" t="n">
        <v>0</v>
      </c>
      <c r="J5" s="13" t="n">
        <f aca="false">G5*H5</f>
        <v>90</v>
      </c>
      <c r="K5" s="13" t="n">
        <f aca="false">J5*(1-I5)</f>
        <v>90</v>
      </c>
    </row>
    <row r="6" customFormat="false" ht="15" hidden="false" customHeight="false" outlineLevel="0" collapsed="false">
      <c r="A6" s="11" t="n">
        <v>5</v>
      </c>
      <c r="B6" s="15" t="n">
        <v>45660</v>
      </c>
      <c r="C6" s="11" t="n">
        <v>1</v>
      </c>
      <c r="D6" s="11" t="n">
        <v>1</v>
      </c>
      <c r="E6" s="11" t="n">
        <v>3</v>
      </c>
      <c r="F6" s="11" t="n">
        <v>2</v>
      </c>
      <c r="G6" s="11" t="n">
        <v>4</v>
      </c>
      <c r="H6" s="13" t="n">
        <v>45</v>
      </c>
      <c r="I6" s="16" t="n">
        <v>0</v>
      </c>
      <c r="J6" s="13" t="n">
        <f aca="false">G6*H6</f>
        <v>180</v>
      </c>
      <c r="K6" s="13" t="n">
        <f aca="false">J6*(1-I6)</f>
        <v>180</v>
      </c>
    </row>
    <row r="7" customFormat="false" ht="15" hidden="false" customHeight="false" outlineLevel="0" collapsed="false">
      <c r="A7" s="11" t="n">
        <v>6</v>
      </c>
      <c r="B7" s="15" t="n">
        <v>45660</v>
      </c>
      <c r="C7" s="11" t="n">
        <v>5</v>
      </c>
      <c r="D7" s="11" t="n">
        <v>10</v>
      </c>
      <c r="E7" s="11" t="n">
        <v>30</v>
      </c>
      <c r="F7" s="11" t="n">
        <v>20</v>
      </c>
      <c r="G7" s="11" t="n">
        <v>2</v>
      </c>
      <c r="H7" s="13" t="n">
        <v>88</v>
      </c>
      <c r="I7" s="16" t="n">
        <v>0</v>
      </c>
      <c r="J7" s="13" t="n">
        <f aca="false">G7*H7</f>
        <v>176</v>
      </c>
      <c r="K7" s="13" t="n">
        <f aca="false">J7*(1-I7)</f>
        <v>176</v>
      </c>
    </row>
    <row r="8" customFormat="false" ht="15" hidden="false" customHeight="false" outlineLevel="0" collapsed="false">
      <c r="A8" s="11" t="n">
        <v>7</v>
      </c>
      <c r="B8" s="15" t="n">
        <v>45660</v>
      </c>
      <c r="C8" s="11" t="n">
        <v>1</v>
      </c>
      <c r="D8" s="11" t="n">
        <v>2</v>
      </c>
      <c r="E8" s="11" t="n">
        <v>36</v>
      </c>
      <c r="F8" s="11" t="n">
        <v>3</v>
      </c>
      <c r="G8" s="11" t="n">
        <v>2</v>
      </c>
      <c r="H8" s="13" t="n">
        <v>38</v>
      </c>
      <c r="I8" s="16" t="n">
        <v>0</v>
      </c>
      <c r="J8" s="13" t="n">
        <f aca="false">G8*H8</f>
        <v>76</v>
      </c>
      <c r="K8" s="13" t="n">
        <f aca="false">J8*(1-I8)</f>
        <v>76</v>
      </c>
    </row>
    <row r="9" customFormat="false" ht="15" hidden="false" customHeight="false" outlineLevel="0" collapsed="false">
      <c r="A9" s="11" t="n">
        <v>8</v>
      </c>
      <c r="B9" s="15" t="n">
        <v>45662</v>
      </c>
      <c r="C9" s="11" t="n">
        <v>1</v>
      </c>
      <c r="D9" s="11" t="n">
        <v>1</v>
      </c>
      <c r="E9" s="11" t="n">
        <v>13</v>
      </c>
      <c r="F9" s="11" t="n">
        <v>9</v>
      </c>
      <c r="G9" s="11" t="n">
        <v>2</v>
      </c>
      <c r="H9" s="13" t="n">
        <v>40</v>
      </c>
      <c r="I9" s="16" t="n">
        <v>0</v>
      </c>
      <c r="J9" s="13" t="n">
        <f aca="false">G9*H9</f>
        <v>80</v>
      </c>
      <c r="K9" s="13" t="n">
        <f aca="false">J9*(1-I9)</f>
        <v>80</v>
      </c>
    </row>
    <row r="10" customFormat="false" ht="15" hidden="false" customHeight="false" outlineLevel="0" collapsed="false">
      <c r="A10" s="11" t="n">
        <v>9</v>
      </c>
      <c r="B10" s="15" t="n">
        <v>45662</v>
      </c>
      <c r="C10" s="11" t="n">
        <v>2</v>
      </c>
      <c r="D10" s="11" t="n">
        <v>4</v>
      </c>
      <c r="E10" s="11" t="n">
        <v>9</v>
      </c>
      <c r="F10" s="11" t="n">
        <v>20</v>
      </c>
      <c r="G10" s="11" t="n">
        <v>2</v>
      </c>
      <c r="H10" s="13" t="n">
        <v>88</v>
      </c>
      <c r="I10" s="16" t="n">
        <v>0</v>
      </c>
      <c r="J10" s="13" t="n">
        <f aca="false">G10*H10</f>
        <v>176</v>
      </c>
      <c r="K10" s="13" t="n">
        <f aca="false">J10*(1-I10)</f>
        <v>176</v>
      </c>
    </row>
    <row r="11" customFormat="false" ht="15" hidden="false" customHeight="false" outlineLevel="0" collapsed="false">
      <c r="A11" s="11" t="n">
        <v>10</v>
      </c>
      <c r="B11" s="15" t="n">
        <v>45663</v>
      </c>
      <c r="C11" s="11" t="n">
        <v>5</v>
      </c>
      <c r="D11" s="11" t="n">
        <v>10</v>
      </c>
      <c r="E11" s="11" t="n">
        <v>27</v>
      </c>
      <c r="F11" s="11" t="n">
        <v>16</v>
      </c>
      <c r="G11" s="11" t="n">
        <v>2</v>
      </c>
      <c r="H11" s="13" t="n">
        <v>45</v>
      </c>
      <c r="I11" s="16" t="n">
        <v>0</v>
      </c>
      <c r="J11" s="13" t="n">
        <f aca="false">G11*H11</f>
        <v>90</v>
      </c>
      <c r="K11" s="13" t="n">
        <f aca="false">J11*(1-I11)</f>
        <v>90</v>
      </c>
    </row>
    <row r="12" customFormat="false" ht="15" hidden="false" customHeight="false" outlineLevel="0" collapsed="false">
      <c r="A12" s="11" t="n">
        <v>11</v>
      </c>
      <c r="B12" s="15" t="n">
        <v>45664</v>
      </c>
      <c r="C12" s="11" t="n">
        <v>1</v>
      </c>
      <c r="D12" s="11" t="n">
        <v>3</v>
      </c>
      <c r="E12" s="11" t="n">
        <v>3</v>
      </c>
      <c r="F12" s="11" t="n">
        <v>15</v>
      </c>
      <c r="G12" s="11" t="n">
        <v>2</v>
      </c>
      <c r="H12" s="13" t="n">
        <v>65</v>
      </c>
      <c r="I12" s="16" t="n">
        <v>0</v>
      </c>
      <c r="J12" s="13" t="n">
        <f aca="false">G12*H12</f>
        <v>130</v>
      </c>
      <c r="K12" s="13" t="n">
        <f aca="false">J12*(1-I12)</f>
        <v>130</v>
      </c>
    </row>
    <row r="13" customFormat="false" ht="15" hidden="false" customHeight="false" outlineLevel="0" collapsed="false">
      <c r="A13" s="11" t="n">
        <v>12</v>
      </c>
      <c r="B13" s="15" t="n">
        <v>45665</v>
      </c>
      <c r="C13" s="11" t="n">
        <v>5</v>
      </c>
      <c r="D13" s="11" t="n">
        <v>10</v>
      </c>
      <c r="E13" s="11" t="n">
        <v>30</v>
      </c>
      <c r="F13" s="11" t="n">
        <v>14</v>
      </c>
      <c r="G13" s="11" t="n">
        <v>3</v>
      </c>
      <c r="H13" s="13" t="n">
        <v>38</v>
      </c>
      <c r="I13" s="16" t="n">
        <v>0</v>
      </c>
      <c r="J13" s="13" t="n">
        <f aca="false">G13*H13</f>
        <v>114</v>
      </c>
      <c r="K13" s="13" t="n">
        <f aca="false">J13*(1-I13)</f>
        <v>114</v>
      </c>
    </row>
    <row r="14" customFormat="false" ht="15" hidden="false" customHeight="false" outlineLevel="0" collapsed="false">
      <c r="A14" s="11" t="n">
        <v>13</v>
      </c>
      <c r="B14" s="15" t="n">
        <v>45665</v>
      </c>
      <c r="C14" s="11" t="n">
        <v>4</v>
      </c>
      <c r="D14" s="11" t="n">
        <v>8</v>
      </c>
      <c r="E14" s="11" t="n">
        <v>26</v>
      </c>
      <c r="F14" s="11" t="n">
        <v>3</v>
      </c>
      <c r="G14" s="11" t="n">
        <v>3</v>
      </c>
      <c r="H14" s="13" t="n">
        <v>38</v>
      </c>
      <c r="I14" s="16" t="n">
        <v>0.05</v>
      </c>
      <c r="J14" s="13" t="n">
        <f aca="false">G14*H14</f>
        <v>114</v>
      </c>
      <c r="K14" s="13" t="n">
        <f aca="false">J14*(1-I14)</f>
        <v>108.3</v>
      </c>
    </row>
    <row r="15" customFormat="false" ht="15" hidden="false" customHeight="false" outlineLevel="0" collapsed="false">
      <c r="A15" s="11" t="n">
        <v>14</v>
      </c>
      <c r="B15" s="15" t="n">
        <v>45665</v>
      </c>
      <c r="C15" s="11" t="n">
        <v>4</v>
      </c>
      <c r="D15" s="11" t="n">
        <v>9</v>
      </c>
      <c r="E15" s="11" t="n">
        <v>36</v>
      </c>
      <c r="F15" s="11" t="n">
        <v>20</v>
      </c>
      <c r="G15" s="11" t="n">
        <v>2</v>
      </c>
      <c r="H15" s="13" t="n">
        <v>88</v>
      </c>
      <c r="I15" s="16" t="n">
        <v>0</v>
      </c>
      <c r="J15" s="13" t="n">
        <f aca="false">G15*H15</f>
        <v>176</v>
      </c>
      <c r="K15" s="13" t="n">
        <f aca="false">J15*(1-I15)</f>
        <v>176</v>
      </c>
    </row>
    <row r="16" customFormat="false" ht="15" hidden="false" customHeight="false" outlineLevel="0" collapsed="false">
      <c r="A16" s="11" t="n">
        <v>15</v>
      </c>
      <c r="B16" s="15" t="n">
        <v>45665</v>
      </c>
      <c r="C16" s="11" t="n">
        <v>3</v>
      </c>
      <c r="D16" s="11" t="n">
        <v>7</v>
      </c>
      <c r="E16" s="11" t="n">
        <v>48</v>
      </c>
      <c r="F16" s="11" t="n">
        <v>2</v>
      </c>
      <c r="G16" s="11" t="n">
        <v>2</v>
      </c>
      <c r="H16" s="13" t="n">
        <v>45</v>
      </c>
      <c r="I16" s="16" t="n">
        <v>0</v>
      </c>
      <c r="J16" s="13" t="n">
        <f aca="false">G16*H16</f>
        <v>90</v>
      </c>
      <c r="K16" s="13" t="n">
        <f aca="false">J16*(1-I16)</f>
        <v>90</v>
      </c>
    </row>
    <row r="17" customFormat="false" ht="15" hidden="false" customHeight="false" outlineLevel="0" collapsed="false">
      <c r="A17" s="11" t="n">
        <v>16</v>
      </c>
      <c r="B17" s="15" t="n">
        <v>45666</v>
      </c>
      <c r="C17" s="11" t="n">
        <v>1</v>
      </c>
      <c r="D17" s="11" t="n">
        <v>3</v>
      </c>
      <c r="E17" s="11" t="n">
        <v>34</v>
      </c>
      <c r="F17" s="11" t="n">
        <v>18</v>
      </c>
      <c r="G17" s="11" t="n">
        <v>2</v>
      </c>
      <c r="H17" s="13" t="n">
        <v>95</v>
      </c>
      <c r="I17" s="16" t="n">
        <v>0</v>
      </c>
      <c r="J17" s="13" t="n">
        <f aca="false">G17*H17</f>
        <v>190</v>
      </c>
      <c r="K17" s="13" t="n">
        <f aca="false">J17*(1-I17)</f>
        <v>190</v>
      </c>
    </row>
    <row r="18" customFormat="false" ht="15" hidden="false" customHeight="false" outlineLevel="0" collapsed="false">
      <c r="A18" s="11" t="n">
        <v>17</v>
      </c>
      <c r="B18" s="15" t="n">
        <v>45666</v>
      </c>
      <c r="C18" s="11" t="n">
        <v>4</v>
      </c>
      <c r="D18" s="11" t="n">
        <v>8</v>
      </c>
      <c r="E18" s="11" t="n">
        <v>46</v>
      </c>
      <c r="F18" s="11" t="n">
        <v>17</v>
      </c>
      <c r="G18" s="11" t="n">
        <v>2</v>
      </c>
      <c r="H18" s="13" t="n">
        <v>28</v>
      </c>
      <c r="I18" s="16" t="n">
        <v>0</v>
      </c>
      <c r="J18" s="13" t="n">
        <f aca="false">G18*H18</f>
        <v>56</v>
      </c>
      <c r="K18" s="13" t="n">
        <f aca="false">J18*(1-I18)</f>
        <v>56</v>
      </c>
    </row>
    <row r="19" customFormat="false" ht="15" hidden="false" customHeight="false" outlineLevel="0" collapsed="false">
      <c r="A19" s="11" t="n">
        <v>18</v>
      </c>
      <c r="B19" s="15" t="n">
        <v>45666</v>
      </c>
      <c r="C19" s="11" t="n">
        <v>1</v>
      </c>
      <c r="D19" s="11" t="n">
        <v>1</v>
      </c>
      <c r="E19" s="11" t="n">
        <v>10</v>
      </c>
      <c r="F19" s="11" t="n">
        <v>11</v>
      </c>
      <c r="G19" s="11" t="n">
        <v>1</v>
      </c>
      <c r="H19" s="13" t="n">
        <v>72</v>
      </c>
      <c r="I19" s="16" t="n">
        <v>0</v>
      </c>
      <c r="J19" s="13" t="n">
        <f aca="false">G19*H19</f>
        <v>72</v>
      </c>
      <c r="K19" s="13" t="n">
        <f aca="false">J19*(1-I19)</f>
        <v>72</v>
      </c>
    </row>
    <row r="20" customFormat="false" ht="15" hidden="false" customHeight="false" outlineLevel="0" collapsed="false">
      <c r="A20" s="11" t="n">
        <v>19</v>
      </c>
      <c r="B20" s="15" t="n">
        <v>45668</v>
      </c>
      <c r="C20" s="11" t="n">
        <v>4</v>
      </c>
      <c r="D20" s="11" t="n">
        <v>9</v>
      </c>
      <c r="E20" s="11" t="n">
        <v>27</v>
      </c>
      <c r="F20" s="11" t="n">
        <v>10</v>
      </c>
      <c r="G20" s="11" t="n">
        <v>1</v>
      </c>
      <c r="H20" s="13" t="n">
        <v>70</v>
      </c>
      <c r="I20" s="16" t="n">
        <v>0.1</v>
      </c>
      <c r="J20" s="13" t="n">
        <f aca="false">G20*H20</f>
        <v>70</v>
      </c>
      <c r="K20" s="13" t="n">
        <f aca="false">J20*(1-I20)</f>
        <v>63</v>
      </c>
    </row>
    <row r="21" customFormat="false" ht="15" hidden="false" customHeight="false" outlineLevel="0" collapsed="false">
      <c r="A21" s="11" t="n">
        <v>20</v>
      </c>
      <c r="B21" s="15" t="n">
        <v>45669</v>
      </c>
      <c r="C21" s="11" t="n">
        <v>4</v>
      </c>
      <c r="D21" s="11" t="n">
        <v>8</v>
      </c>
      <c r="E21" s="11" t="n">
        <v>42</v>
      </c>
      <c r="F21" s="11" t="n">
        <v>3</v>
      </c>
      <c r="G21" s="11" t="n">
        <v>2</v>
      </c>
      <c r="H21" s="13" t="n">
        <v>38</v>
      </c>
      <c r="I21" s="16" t="n">
        <v>0</v>
      </c>
      <c r="J21" s="13" t="n">
        <f aca="false">G21*H21</f>
        <v>76</v>
      </c>
      <c r="K21" s="13" t="n">
        <f aca="false">J21*(1-I21)</f>
        <v>76</v>
      </c>
    </row>
    <row r="22" customFormat="false" ht="15" hidden="false" customHeight="false" outlineLevel="0" collapsed="false">
      <c r="A22" s="11" t="n">
        <v>21</v>
      </c>
      <c r="B22" s="15" t="n">
        <v>45669</v>
      </c>
      <c r="C22" s="11" t="n">
        <v>3</v>
      </c>
      <c r="D22" s="11" t="n">
        <v>6</v>
      </c>
      <c r="E22" s="11" t="n">
        <v>10</v>
      </c>
      <c r="F22" s="11" t="n">
        <v>13</v>
      </c>
      <c r="G22" s="11" t="n">
        <v>1</v>
      </c>
      <c r="H22" s="13" t="n">
        <v>32</v>
      </c>
      <c r="I22" s="16" t="n">
        <v>0</v>
      </c>
      <c r="J22" s="13" t="n">
        <f aca="false">G22*H22</f>
        <v>32</v>
      </c>
      <c r="K22" s="13" t="n">
        <f aca="false">J22*(1-I22)</f>
        <v>32</v>
      </c>
    </row>
    <row r="23" customFormat="false" ht="15" hidden="false" customHeight="false" outlineLevel="0" collapsed="false">
      <c r="A23" s="11" t="n">
        <v>22</v>
      </c>
      <c r="B23" s="15" t="n">
        <v>45669</v>
      </c>
      <c r="C23" s="11" t="n">
        <v>5</v>
      </c>
      <c r="D23" s="11" t="n">
        <v>10</v>
      </c>
      <c r="E23" s="11" t="n">
        <v>4</v>
      </c>
      <c r="F23" s="11" t="n">
        <v>4</v>
      </c>
      <c r="G23" s="11" t="n">
        <v>5</v>
      </c>
      <c r="H23" s="13" t="n">
        <v>55</v>
      </c>
      <c r="I23" s="16" t="n">
        <v>0</v>
      </c>
      <c r="J23" s="13" t="n">
        <f aca="false">G23*H23</f>
        <v>275</v>
      </c>
      <c r="K23" s="13" t="n">
        <f aca="false">J23*(1-I23)</f>
        <v>275</v>
      </c>
    </row>
    <row r="24" customFormat="false" ht="15" hidden="false" customHeight="false" outlineLevel="0" collapsed="false">
      <c r="A24" s="11" t="n">
        <v>23</v>
      </c>
      <c r="B24" s="15" t="n">
        <v>45670</v>
      </c>
      <c r="C24" s="11" t="n">
        <v>1</v>
      </c>
      <c r="D24" s="11" t="n">
        <v>2</v>
      </c>
      <c r="E24" s="11" t="n">
        <v>17</v>
      </c>
      <c r="F24" s="11" t="n">
        <v>15</v>
      </c>
      <c r="G24" s="11" t="n">
        <v>1</v>
      </c>
      <c r="H24" s="13" t="n">
        <v>65</v>
      </c>
      <c r="I24" s="16" t="n">
        <v>0</v>
      </c>
      <c r="J24" s="13" t="n">
        <f aca="false">G24*H24</f>
        <v>65</v>
      </c>
      <c r="K24" s="13" t="n">
        <f aca="false">J24*(1-I24)</f>
        <v>65</v>
      </c>
    </row>
    <row r="25" customFormat="false" ht="15" hidden="false" customHeight="false" outlineLevel="0" collapsed="false">
      <c r="A25" s="11" t="n">
        <v>24</v>
      </c>
      <c r="B25" s="15" t="n">
        <v>45670</v>
      </c>
      <c r="C25" s="11" t="n">
        <v>2</v>
      </c>
      <c r="D25" s="11" t="n">
        <v>4</v>
      </c>
      <c r="E25" s="11" t="n">
        <v>53</v>
      </c>
      <c r="F25" s="11" t="n">
        <v>3</v>
      </c>
      <c r="G25" s="11" t="n">
        <v>2</v>
      </c>
      <c r="H25" s="13" t="n">
        <v>38</v>
      </c>
      <c r="I25" s="16" t="n">
        <v>0.1</v>
      </c>
      <c r="J25" s="13" t="n">
        <f aca="false">G25*H25</f>
        <v>76</v>
      </c>
      <c r="K25" s="13" t="n">
        <f aca="false">J25*(1-I25)</f>
        <v>68.4</v>
      </c>
    </row>
    <row r="26" customFormat="false" ht="15" hidden="false" customHeight="false" outlineLevel="0" collapsed="false">
      <c r="A26" s="11" t="n">
        <v>25</v>
      </c>
      <c r="B26" s="15" t="n">
        <v>45670</v>
      </c>
      <c r="C26" s="11" t="n">
        <v>1</v>
      </c>
      <c r="D26" s="11" t="n">
        <v>2</v>
      </c>
      <c r="E26" s="11" t="n">
        <v>26</v>
      </c>
      <c r="F26" s="11" t="n">
        <v>6</v>
      </c>
      <c r="G26" s="11" t="n">
        <v>2</v>
      </c>
      <c r="H26" s="13" t="n">
        <v>62</v>
      </c>
      <c r="I26" s="16" t="n">
        <v>0.05</v>
      </c>
      <c r="J26" s="13" t="n">
        <f aca="false">G26*H26</f>
        <v>124</v>
      </c>
      <c r="K26" s="13" t="n">
        <f aca="false">J26*(1-I26)</f>
        <v>117.8</v>
      </c>
    </row>
    <row r="27" customFormat="false" ht="15" hidden="false" customHeight="false" outlineLevel="0" collapsed="false">
      <c r="A27" s="11" t="n">
        <v>26</v>
      </c>
      <c r="B27" s="15" t="n">
        <v>45670</v>
      </c>
      <c r="C27" s="11" t="n">
        <v>4</v>
      </c>
      <c r="D27" s="11" t="n">
        <v>8</v>
      </c>
      <c r="E27" s="11" t="n">
        <v>24</v>
      </c>
      <c r="F27" s="11" t="n">
        <v>8</v>
      </c>
      <c r="G27" s="11" t="n">
        <v>1</v>
      </c>
      <c r="H27" s="13" t="n">
        <v>52</v>
      </c>
      <c r="I27" s="16" t="n">
        <v>0</v>
      </c>
      <c r="J27" s="13" t="n">
        <f aca="false">G27*H27</f>
        <v>52</v>
      </c>
      <c r="K27" s="13" t="n">
        <f aca="false">J27*(1-I27)</f>
        <v>52</v>
      </c>
    </row>
    <row r="28" customFormat="false" ht="15" hidden="false" customHeight="false" outlineLevel="0" collapsed="false">
      <c r="A28" s="11" t="n">
        <v>27</v>
      </c>
      <c r="B28" s="15" t="n">
        <v>45670</v>
      </c>
      <c r="C28" s="11" t="n">
        <v>2</v>
      </c>
      <c r="D28" s="11" t="n">
        <v>4</v>
      </c>
      <c r="E28" s="11" t="n">
        <v>49</v>
      </c>
      <c r="F28" s="11" t="n">
        <v>10</v>
      </c>
      <c r="G28" s="11" t="n">
        <v>2</v>
      </c>
      <c r="H28" s="13" t="n">
        <v>70</v>
      </c>
      <c r="I28" s="16" t="n">
        <v>0</v>
      </c>
      <c r="J28" s="13" t="n">
        <f aca="false">G28*H28</f>
        <v>140</v>
      </c>
      <c r="K28" s="13" t="n">
        <f aca="false">J28*(1-I28)</f>
        <v>140</v>
      </c>
    </row>
    <row r="29" customFormat="false" ht="15" hidden="false" customHeight="false" outlineLevel="0" collapsed="false">
      <c r="A29" s="11" t="n">
        <v>28</v>
      </c>
      <c r="B29" s="15" t="n">
        <v>45670</v>
      </c>
      <c r="C29" s="11" t="n">
        <v>5</v>
      </c>
      <c r="D29" s="11" t="n">
        <v>10</v>
      </c>
      <c r="E29" s="11" t="n">
        <v>16</v>
      </c>
      <c r="F29" s="11" t="n">
        <v>16</v>
      </c>
      <c r="G29" s="11" t="n">
        <v>1</v>
      </c>
      <c r="H29" s="13" t="n">
        <v>45</v>
      </c>
      <c r="I29" s="16" t="n">
        <v>0.05</v>
      </c>
      <c r="J29" s="13" t="n">
        <f aca="false">G29*H29</f>
        <v>45</v>
      </c>
      <c r="K29" s="13" t="n">
        <f aca="false">J29*(1-I29)</f>
        <v>42.75</v>
      </c>
    </row>
    <row r="30" customFormat="false" ht="15" hidden="false" customHeight="false" outlineLevel="0" collapsed="false">
      <c r="A30" s="11" t="n">
        <v>29</v>
      </c>
      <c r="B30" s="15" t="n">
        <v>45671</v>
      </c>
      <c r="C30" s="11" t="n">
        <v>4</v>
      </c>
      <c r="D30" s="11" t="n">
        <v>9</v>
      </c>
      <c r="E30" s="11" t="n">
        <v>2</v>
      </c>
      <c r="F30" s="11" t="n">
        <v>3</v>
      </c>
      <c r="G30" s="11" t="n">
        <v>1</v>
      </c>
      <c r="H30" s="13" t="n">
        <v>38</v>
      </c>
      <c r="I30" s="16" t="n">
        <v>0</v>
      </c>
      <c r="J30" s="13" t="n">
        <f aca="false">G30*H30</f>
        <v>38</v>
      </c>
      <c r="K30" s="13" t="n">
        <f aca="false">J30*(1-I30)</f>
        <v>38</v>
      </c>
    </row>
    <row r="31" customFormat="false" ht="15" hidden="false" customHeight="false" outlineLevel="0" collapsed="false">
      <c r="A31" s="11" t="n">
        <v>30</v>
      </c>
      <c r="B31" s="15" t="n">
        <v>45671</v>
      </c>
      <c r="C31" s="11" t="n">
        <v>5</v>
      </c>
      <c r="D31" s="11" t="n">
        <v>10</v>
      </c>
      <c r="E31" s="11" t="n">
        <v>44</v>
      </c>
      <c r="F31" s="11" t="n">
        <v>10</v>
      </c>
      <c r="G31" s="11" t="n">
        <v>2</v>
      </c>
      <c r="H31" s="13" t="n">
        <v>70</v>
      </c>
      <c r="I31" s="16" t="n">
        <v>0</v>
      </c>
      <c r="J31" s="13" t="n">
        <f aca="false">G31*H31</f>
        <v>140</v>
      </c>
      <c r="K31" s="13" t="n">
        <f aca="false">J31*(1-I31)</f>
        <v>140</v>
      </c>
    </row>
    <row r="32" customFormat="false" ht="15" hidden="false" customHeight="false" outlineLevel="0" collapsed="false">
      <c r="A32" s="11" t="n">
        <v>31</v>
      </c>
      <c r="B32" s="15" t="n">
        <v>45672</v>
      </c>
      <c r="C32" s="11" t="n">
        <v>3</v>
      </c>
      <c r="D32" s="11" t="n">
        <v>7</v>
      </c>
      <c r="E32" s="11" t="n">
        <v>37</v>
      </c>
      <c r="F32" s="11" t="n">
        <v>11</v>
      </c>
      <c r="G32" s="11" t="n">
        <v>1</v>
      </c>
      <c r="H32" s="13" t="n">
        <v>72</v>
      </c>
      <c r="I32" s="16" t="n">
        <v>0.1</v>
      </c>
      <c r="J32" s="13" t="n">
        <f aca="false">G32*H32</f>
        <v>72</v>
      </c>
      <c r="K32" s="13" t="n">
        <f aca="false">J32*(1-I32)</f>
        <v>64.8</v>
      </c>
    </row>
    <row r="33" customFormat="false" ht="15" hidden="false" customHeight="false" outlineLevel="0" collapsed="false">
      <c r="A33" s="11" t="n">
        <v>32</v>
      </c>
      <c r="B33" s="15" t="n">
        <v>45672</v>
      </c>
      <c r="C33" s="11" t="n">
        <v>3</v>
      </c>
      <c r="D33" s="11" t="n">
        <v>6</v>
      </c>
      <c r="E33" s="11" t="n">
        <v>56</v>
      </c>
      <c r="F33" s="11" t="n">
        <v>13</v>
      </c>
      <c r="G33" s="11" t="n">
        <v>1</v>
      </c>
      <c r="H33" s="13" t="n">
        <v>32</v>
      </c>
      <c r="I33" s="16" t="n">
        <v>0.05</v>
      </c>
      <c r="J33" s="13" t="n">
        <f aca="false">G33*H33</f>
        <v>32</v>
      </c>
      <c r="K33" s="13" t="n">
        <f aca="false">J33*(1-I33)</f>
        <v>30.4</v>
      </c>
    </row>
    <row r="34" customFormat="false" ht="15" hidden="false" customHeight="false" outlineLevel="0" collapsed="false">
      <c r="A34" s="11" t="n">
        <v>33</v>
      </c>
      <c r="B34" s="15" t="n">
        <v>45673</v>
      </c>
      <c r="C34" s="11" t="n">
        <v>2</v>
      </c>
      <c r="D34" s="11" t="n">
        <v>5</v>
      </c>
      <c r="E34" s="11" t="n">
        <v>32</v>
      </c>
      <c r="F34" s="11" t="n">
        <v>19</v>
      </c>
      <c r="G34" s="11" t="n">
        <v>3</v>
      </c>
      <c r="H34" s="13" t="n">
        <v>125</v>
      </c>
      <c r="I34" s="16" t="n">
        <v>0</v>
      </c>
      <c r="J34" s="13" t="n">
        <f aca="false">G34*H34</f>
        <v>375</v>
      </c>
      <c r="K34" s="13" t="n">
        <f aca="false">J34*(1-I34)</f>
        <v>375</v>
      </c>
    </row>
    <row r="35" customFormat="false" ht="15" hidden="false" customHeight="false" outlineLevel="0" collapsed="false">
      <c r="A35" s="11" t="n">
        <v>34</v>
      </c>
      <c r="B35" s="15" t="n">
        <v>45674</v>
      </c>
      <c r="C35" s="11" t="n">
        <v>5</v>
      </c>
      <c r="D35" s="11" t="n">
        <v>10</v>
      </c>
      <c r="E35" s="11" t="n">
        <v>53</v>
      </c>
      <c r="F35" s="11" t="n">
        <v>19</v>
      </c>
      <c r="G35" s="11" t="n">
        <v>1</v>
      </c>
      <c r="H35" s="13" t="n">
        <v>125</v>
      </c>
      <c r="I35" s="16" t="n">
        <v>0</v>
      </c>
      <c r="J35" s="13" t="n">
        <f aca="false">G35*H35</f>
        <v>125</v>
      </c>
      <c r="K35" s="13" t="n">
        <f aca="false">J35*(1-I35)</f>
        <v>125</v>
      </c>
    </row>
    <row r="36" customFormat="false" ht="15" hidden="false" customHeight="false" outlineLevel="0" collapsed="false">
      <c r="A36" s="11" t="n">
        <v>35</v>
      </c>
      <c r="B36" s="15" t="n">
        <v>45674</v>
      </c>
      <c r="C36" s="11" t="n">
        <v>1</v>
      </c>
      <c r="D36" s="11" t="n">
        <v>1</v>
      </c>
      <c r="E36" s="11" t="n">
        <v>25</v>
      </c>
      <c r="F36" s="11" t="n">
        <v>7</v>
      </c>
      <c r="G36" s="11" t="n">
        <v>2</v>
      </c>
      <c r="H36" s="13" t="n">
        <v>50</v>
      </c>
      <c r="I36" s="16" t="n">
        <v>0</v>
      </c>
      <c r="J36" s="13" t="n">
        <f aca="false">G36*H36</f>
        <v>100</v>
      </c>
      <c r="K36" s="13" t="n">
        <f aca="false">J36*(1-I36)</f>
        <v>100</v>
      </c>
    </row>
    <row r="37" customFormat="false" ht="15" hidden="false" customHeight="false" outlineLevel="0" collapsed="false">
      <c r="A37" s="11" t="n">
        <v>36</v>
      </c>
      <c r="B37" s="15" t="n">
        <v>45675</v>
      </c>
      <c r="C37" s="11" t="n">
        <v>4</v>
      </c>
      <c r="D37" s="11" t="n">
        <v>9</v>
      </c>
      <c r="E37" s="11" t="n">
        <v>5</v>
      </c>
      <c r="F37" s="11" t="n">
        <v>17</v>
      </c>
      <c r="G37" s="11" t="n">
        <v>3</v>
      </c>
      <c r="H37" s="13" t="n">
        <v>28</v>
      </c>
      <c r="I37" s="16" t="n">
        <v>0</v>
      </c>
      <c r="J37" s="13" t="n">
        <f aca="false">G37*H37</f>
        <v>84</v>
      </c>
      <c r="K37" s="13" t="n">
        <f aca="false">J37*(1-I37)</f>
        <v>84</v>
      </c>
    </row>
    <row r="38" customFormat="false" ht="15" hidden="false" customHeight="false" outlineLevel="0" collapsed="false">
      <c r="A38" s="11" t="n">
        <v>37</v>
      </c>
      <c r="B38" s="15" t="n">
        <v>45676</v>
      </c>
      <c r="C38" s="11" t="n">
        <v>3</v>
      </c>
      <c r="D38" s="11" t="n">
        <v>6</v>
      </c>
      <c r="E38" s="11" t="n">
        <v>20</v>
      </c>
      <c r="F38" s="11" t="n">
        <v>7</v>
      </c>
      <c r="G38" s="11" t="n">
        <v>2</v>
      </c>
      <c r="H38" s="13" t="n">
        <v>50</v>
      </c>
      <c r="I38" s="16" t="n">
        <v>0.1</v>
      </c>
      <c r="J38" s="13" t="n">
        <f aca="false">G38*H38</f>
        <v>100</v>
      </c>
      <c r="K38" s="13" t="n">
        <f aca="false">J38*(1-I38)</f>
        <v>90</v>
      </c>
    </row>
    <row r="39" customFormat="false" ht="15" hidden="false" customHeight="false" outlineLevel="0" collapsed="false">
      <c r="A39" s="11" t="n">
        <v>38</v>
      </c>
      <c r="B39" s="15" t="n">
        <v>45677</v>
      </c>
      <c r="C39" s="11" t="n">
        <v>1</v>
      </c>
      <c r="D39" s="11" t="n">
        <v>3</v>
      </c>
      <c r="E39" s="11" t="n">
        <v>31</v>
      </c>
      <c r="F39" s="11" t="n">
        <v>1</v>
      </c>
      <c r="G39" s="11" t="n">
        <v>1</v>
      </c>
      <c r="H39" s="13" t="n">
        <v>35</v>
      </c>
      <c r="I39" s="16" t="n">
        <v>0</v>
      </c>
      <c r="J39" s="13" t="n">
        <f aca="false">G39*H39</f>
        <v>35</v>
      </c>
      <c r="K39" s="13" t="n">
        <f aca="false">J39*(1-I39)</f>
        <v>35</v>
      </c>
    </row>
    <row r="40" customFormat="false" ht="15" hidden="false" customHeight="false" outlineLevel="0" collapsed="false">
      <c r="A40" s="11" t="n">
        <v>39</v>
      </c>
      <c r="B40" s="15" t="n">
        <v>45678</v>
      </c>
      <c r="C40" s="11" t="n">
        <v>4</v>
      </c>
      <c r="D40" s="11" t="n">
        <v>8</v>
      </c>
      <c r="E40" s="11" t="n">
        <v>52</v>
      </c>
      <c r="F40" s="11" t="n">
        <v>20</v>
      </c>
      <c r="G40" s="11" t="n">
        <v>5</v>
      </c>
      <c r="H40" s="13" t="n">
        <v>88</v>
      </c>
      <c r="I40" s="16" t="n">
        <v>0</v>
      </c>
      <c r="J40" s="13" t="n">
        <f aca="false">G40*H40</f>
        <v>440</v>
      </c>
      <c r="K40" s="13" t="n">
        <f aca="false">J40*(1-I40)</f>
        <v>440</v>
      </c>
    </row>
    <row r="41" customFormat="false" ht="15" hidden="false" customHeight="false" outlineLevel="0" collapsed="false">
      <c r="A41" s="11" t="n">
        <v>40</v>
      </c>
      <c r="B41" s="15" t="n">
        <v>45679</v>
      </c>
      <c r="C41" s="11" t="n">
        <v>4</v>
      </c>
      <c r="D41" s="11" t="n">
        <v>9</v>
      </c>
      <c r="E41" s="11" t="n">
        <v>42</v>
      </c>
      <c r="F41" s="11" t="n">
        <v>3</v>
      </c>
      <c r="G41" s="11" t="n">
        <v>3</v>
      </c>
      <c r="H41" s="13" t="n">
        <v>38</v>
      </c>
      <c r="I41" s="16" t="n">
        <v>0</v>
      </c>
      <c r="J41" s="13" t="n">
        <f aca="false">G41*H41</f>
        <v>114</v>
      </c>
      <c r="K41" s="13" t="n">
        <f aca="false">J41*(1-I41)</f>
        <v>114</v>
      </c>
    </row>
    <row r="42" customFormat="false" ht="15" hidden="false" customHeight="false" outlineLevel="0" collapsed="false">
      <c r="A42" s="11" t="n">
        <v>41</v>
      </c>
      <c r="B42" s="15" t="n">
        <v>45679</v>
      </c>
      <c r="C42" s="11" t="n">
        <v>3</v>
      </c>
      <c r="D42" s="11" t="n">
        <v>7</v>
      </c>
      <c r="E42" s="11" t="n">
        <v>45</v>
      </c>
      <c r="F42" s="11" t="n">
        <v>2</v>
      </c>
      <c r="G42" s="11" t="n">
        <v>3</v>
      </c>
      <c r="H42" s="13" t="n">
        <v>45</v>
      </c>
      <c r="I42" s="16" t="n">
        <v>0.05</v>
      </c>
      <c r="J42" s="13" t="n">
        <f aca="false">G42*H42</f>
        <v>135</v>
      </c>
      <c r="K42" s="13" t="n">
        <f aca="false">J42*(1-I42)</f>
        <v>128.25</v>
      </c>
    </row>
    <row r="43" customFormat="false" ht="15" hidden="false" customHeight="false" outlineLevel="0" collapsed="false">
      <c r="A43" s="11" t="n">
        <v>42</v>
      </c>
      <c r="B43" s="15" t="n">
        <v>45680</v>
      </c>
      <c r="C43" s="11" t="n">
        <v>2</v>
      </c>
      <c r="D43" s="11" t="n">
        <v>5</v>
      </c>
      <c r="E43" s="11" t="n">
        <v>34</v>
      </c>
      <c r="F43" s="11" t="n">
        <v>15</v>
      </c>
      <c r="G43" s="11" t="n">
        <v>1</v>
      </c>
      <c r="H43" s="13" t="n">
        <v>65</v>
      </c>
      <c r="I43" s="16" t="n">
        <v>0.05</v>
      </c>
      <c r="J43" s="13" t="n">
        <f aca="false">G43*H43</f>
        <v>65</v>
      </c>
      <c r="K43" s="13" t="n">
        <f aca="false">J43*(1-I43)</f>
        <v>61.75</v>
      </c>
    </row>
    <row r="44" customFormat="false" ht="15" hidden="false" customHeight="false" outlineLevel="0" collapsed="false">
      <c r="A44" s="11" t="n">
        <v>43</v>
      </c>
      <c r="B44" s="15" t="n">
        <v>45680</v>
      </c>
      <c r="C44" s="11" t="n">
        <v>4</v>
      </c>
      <c r="D44" s="11" t="n">
        <v>9</v>
      </c>
      <c r="E44" s="11" t="n">
        <v>29</v>
      </c>
      <c r="F44" s="11" t="n">
        <v>16</v>
      </c>
      <c r="G44" s="11" t="n">
        <v>1</v>
      </c>
      <c r="H44" s="13" t="n">
        <v>45</v>
      </c>
      <c r="I44" s="16" t="n">
        <v>0</v>
      </c>
      <c r="J44" s="13" t="n">
        <f aca="false">G44*H44</f>
        <v>45</v>
      </c>
      <c r="K44" s="13" t="n">
        <f aca="false">J44*(1-I44)</f>
        <v>45</v>
      </c>
    </row>
    <row r="45" customFormat="false" ht="15" hidden="false" customHeight="false" outlineLevel="0" collapsed="false">
      <c r="A45" s="11" t="n">
        <v>44</v>
      </c>
      <c r="B45" s="15" t="n">
        <v>45680</v>
      </c>
      <c r="C45" s="11" t="n">
        <v>1</v>
      </c>
      <c r="D45" s="11" t="n">
        <v>1</v>
      </c>
      <c r="E45" s="11" t="n">
        <v>39</v>
      </c>
      <c r="F45" s="11" t="n">
        <v>16</v>
      </c>
      <c r="G45" s="11" t="n">
        <v>1</v>
      </c>
      <c r="H45" s="13" t="n">
        <v>45</v>
      </c>
      <c r="I45" s="16" t="n">
        <v>0</v>
      </c>
      <c r="J45" s="13" t="n">
        <f aca="false">G45*H45</f>
        <v>45</v>
      </c>
      <c r="K45" s="13" t="n">
        <f aca="false">J45*(1-I45)</f>
        <v>45</v>
      </c>
    </row>
    <row r="46" customFormat="false" ht="15" hidden="false" customHeight="false" outlineLevel="0" collapsed="false">
      <c r="A46" s="11" t="n">
        <v>45</v>
      </c>
      <c r="B46" s="15" t="n">
        <v>45680</v>
      </c>
      <c r="C46" s="11" t="n">
        <v>3</v>
      </c>
      <c r="D46" s="11" t="n">
        <v>6</v>
      </c>
      <c r="E46" s="11" t="n">
        <v>12</v>
      </c>
      <c r="F46" s="11" t="n">
        <v>7</v>
      </c>
      <c r="G46" s="11" t="n">
        <v>1</v>
      </c>
      <c r="H46" s="13" t="n">
        <v>50</v>
      </c>
      <c r="I46" s="16" t="n">
        <v>0.1</v>
      </c>
      <c r="J46" s="13" t="n">
        <f aca="false">G46*H46</f>
        <v>50</v>
      </c>
      <c r="K46" s="13" t="n">
        <f aca="false">J46*(1-I46)</f>
        <v>45</v>
      </c>
    </row>
    <row r="47" customFormat="false" ht="15" hidden="false" customHeight="false" outlineLevel="0" collapsed="false">
      <c r="A47" s="11" t="n">
        <v>46</v>
      </c>
      <c r="B47" s="15" t="n">
        <v>45681</v>
      </c>
      <c r="C47" s="11" t="n">
        <v>1</v>
      </c>
      <c r="D47" s="11" t="n">
        <v>2</v>
      </c>
      <c r="E47" s="11" t="n">
        <v>15</v>
      </c>
      <c r="F47" s="11" t="n">
        <v>18</v>
      </c>
      <c r="G47" s="11" t="n">
        <v>1</v>
      </c>
      <c r="H47" s="13" t="n">
        <v>95</v>
      </c>
      <c r="I47" s="16" t="n">
        <v>0.05</v>
      </c>
      <c r="J47" s="13" t="n">
        <f aca="false">G47*H47</f>
        <v>95</v>
      </c>
      <c r="K47" s="13" t="n">
        <f aca="false">J47*(1-I47)</f>
        <v>90.25</v>
      </c>
    </row>
    <row r="48" customFormat="false" ht="15" hidden="false" customHeight="false" outlineLevel="0" collapsed="false">
      <c r="A48" s="11" t="n">
        <v>47</v>
      </c>
      <c r="B48" s="15" t="n">
        <v>45681</v>
      </c>
      <c r="C48" s="11" t="n">
        <v>1</v>
      </c>
      <c r="D48" s="11" t="n">
        <v>2</v>
      </c>
      <c r="E48" s="11" t="n">
        <v>44</v>
      </c>
      <c r="F48" s="11" t="n">
        <v>12</v>
      </c>
      <c r="G48" s="11" t="n">
        <v>1</v>
      </c>
      <c r="H48" s="13" t="n">
        <v>45</v>
      </c>
      <c r="I48" s="16" t="n">
        <v>0.05</v>
      </c>
      <c r="J48" s="13" t="n">
        <f aca="false">G48*H48</f>
        <v>45</v>
      </c>
      <c r="K48" s="13" t="n">
        <f aca="false">J48*(1-I48)</f>
        <v>42.75</v>
      </c>
    </row>
    <row r="49" customFormat="false" ht="15" hidden="false" customHeight="false" outlineLevel="0" collapsed="false">
      <c r="A49" s="11" t="n">
        <v>48</v>
      </c>
      <c r="B49" s="15" t="n">
        <v>45682</v>
      </c>
      <c r="C49" s="11" t="n">
        <v>1</v>
      </c>
      <c r="D49" s="11" t="n">
        <v>1</v>
      </c>
      <c r="E49" s="11" t="n">
        <v>18</v>
      </c>
      <c r="F49" s="11" t="n">
        <v>8</v>
      </c>
      <c r="G49" s="11" t="n">
        <v>1</v>
      </c>
      <c r="H49" s="13" t="n">
        <v>52</v>
      </c>
      <c r="I49" s="16" t="n">
        <v>0</v>
      </c>
      <c r="J49" s="13" t="n">
        <f aca="false">G49*H49</f>
        <v>52</v>
      </c>
      <c r="K49" s="13" t="n">
        <f aca="false">J49*(1-I49)</f>
        <v>52</v>
      </c>
    </row>
    <row r="50" customFormat="false" ht="15" hidden="false" customHeight="false" outlineLevel="0" collapsed="false">
      <c r="A50" s="11" t="n">
        <v>49</v>
      </c>
      <c r="B50" s="15" t="n">
        <v>45682</v>
      </c>
      <c r="C50" s="11" t="n">
        <v>4</v>
      </c>
      <c r="D50" s="11" t="n">
        <v>9</v>
      </c>
      <c r="E50" s="11" t="n">
        <v>29</v>
      </c>
      <c r="F50" s="11" t="n">
        <v>1</v>
      </c>
      <c r="G50" s="11" t="n">
        <v>1</v>
      </c>
      <c r="H50" s="13" t="n">
        <v>35</v>
      </c>
      <c r="I50" s="16" t="n">
        <v>0</v>
      </c>
      <c r="J50" s="13" t="n">
        <f aca="false">G50*H50</f>
        <v>35</v>
      </c>
      <c r="K50" s="13" t="n">
        <f aca="false">J50*(1-I50)</f>
        <v>35</v>
      </c>
    </row>
    <row r="51" customFormat="false" ht="15" hidden="false" customHeight="false" outlineLevel="0" collapsed="false">
      <c r="A51" s="11" t="n">
        <v>50</v>
      </c>
      <c r="B51" s="15" t="n">
        <v>45682</v>
      </c>
      <c r="C51" s="11" t="n">
        <v>4</v>
      </c>
      <c r="D51" s="11" t="n">
        <v>9</v>
      </c>
      <c r="E51" s="11" t="n">
        <v>16</v>
      </c>
      <c r="F51" s="11" t="n">
        <v>14</v>
      </c>
      <c r="G51" s="11" t="n">
        <v>2</v>
      </c>
      <c r="H51" s="13" t="n">
        <v>38</v>
      </c>
      <c r="I51" s="16" t="n">
        <v>0</v>
      </c>
      <c r="J51" s="13" t="n">
        <f aca="false">G51*H51</f>
        <v>76</v>
      </c>
      <c r="K51" s="13" t="n">
        <f aca="false">J51*(1-I51)</f>
        <v>76</v>
      </c>
    </row>
    <row r="52" customFormat="false" ht="15" hidden="false" customHeight="false" outlineLevel="0" collapsed="false">
      <c r="A52" s="11" t="n">
        <v>51</v>
      </c>
      <c r="B52" s="15" t="n">
        <v>45682</v>
      </c>
      <c r="C52" s="11" t="n">
        <v>5</v>
      </c>
      <c r="D52" s="11" t="n">
        <v>10</v>
      </c>
      <c r="E52" s="11" t="n">
        <v>7</v>
      </c>
      <c r="F52" s="11" t="n">
        <v>7</v>
      </c>
      <c r="G52" s="11" t="n">
        <v>1</v>
      </c>
      <c r="H52" s="13" t="n">
        <v>50</v>
      </c>
      <c r="I52" s="16" t="n">
        <v>0</v>
      </c>
      <c r="J52" s="13" t="n">
        <f aca="false">G52*H52</f>
        <v>50</v>
      </c>
      <c r="K52" s="13" t="n">
        <f aca="false">J52*(1-I52)</f>
        <v>50</v>
      </c>
    </row>
    <row r="53" customFormat="false" ht="15" hidden="false" customHeight="false" outlineLevel="0" collapsed="false">
      <c r="A53" s="11" t="n">
        <v>52</v>
      </c>
      <c r="B53" s="15" t="n">
        <v>45683</v>
      </c>
      <c r="C53" s="11" t="n">
        <v>4</v>
      </c>
      <c r="D53" s="11" t="n">
        <v>9</v>
      </c>
      <c r="E53" s="11" t="n">
        <v>15</v>
      </c>
      <c r="F53" s="11" t="n">
        <v>20</v>
      </c>
      <c r="G53" s="11" t="n">
        <v>1</v>
      </c>
      <c r="H53" s="13" t="n">
        <v>88</v>
      </c>
      <c r="I53" s="16" t="n">
        <v>0</v>
      </c>
      <c r="J53" s="13" t="n">
        <f aca="false">G53*H53</f>
        <v>88</v>
      </c>
      <c r="K53" s="13" t="n">
        <f aca="false">J53*(1-I53)</f>
        <v>88</v>
      </c>
    </row>
    <row r="54" customFormat="false" ht="15" hidden="false" customHeight="false" outlineLevel="0" collapsed="false">
      <c r="A54" s="11" t="n">
        <v>53</v>
      </c>
      <c r="B54" s="15" t="n">
        <v>45684</v>
      </c>
      <c r="C54" s="11" t="n">
        <v>4</v>
      </c>
      <c r="D54" s="11" t="n">
        <v>8</v>
      </c>
      <c r="E54" s="11" t="n">
        <v>9</v>
      </c>
      <c r="F54" s="11" t="n">
        <v>7</v>
      </c>
      <c r="G54" s="11" t="n">
        <v>3</v>
      </c>
      <c r="H54" s="13" t="n">
        <v>50</v>
      </c>
      <c r="I54" s="16" t="n">
        <v>0</v>
      </c>
      <c r="J54" s="13" t="n">
        <f aca="false">G54*H54</f>
        <v>150</v>
      </c>
      <c r="K54" s="13" t="n">
        <f aca="false">J54*(1-I54)</f>
        <v>150</v>
      </c>
    </row>
    <row r="55" customFormat="false" ht="15" hidden="false" customHeight="false" outlineLevel="0" collapsed="false">
      <c r="A55" s="11" t="n">
        <v>54</v>
      </c>
      <c r="B55" s="15" t="n">
        <v>45684</v>
      </c>
      <c r="C55" s="11" t="n">
        <v>4</v>
      </c>
      <c r="D55" s="11" t="n">
        <v>8</v>
      </c>
      <c r="E55" s="11" t="n">
        <v>23</v>
      </c>
      <c r="F55" s="11" t="n">
        <v>10</v>
      </c>
      <c r="G55" s="11" t="n">
        <v>1</v>
      </c>
      <c r="H55" s="13" t="n">
        <v>70</v>
      </c>
      <c r="I55" s="16" t="n">
        <v>0</v>
      </c>
      <c r="J55" s="13" t="n">
        <f aca="false">G55*H55</f>
        <v>70</v>
      </c>
      <c r="K55" s="13" t="n">
        <f aca="false">J55*(1-I55)</f>
        <v>70</v>
      </c>
    </row>
    <row r="56" customFormat="false" ht="15" hidden="false" customHeight="false" outlineLevel="0" collapsed="false">
      <c r="A56" s="11" t="n">
        <v>55</v>
      </c>
      <c r="B56" s="15" t="n">
        <v>45685</v>
      </c>
      <c r="C56" s="11" t="n">
        <v>1</v>
      </c>
      <c r="D56" s="11" t="n">
        <v>3</v>
      </c>
      <c r="E56" s="11" t="n">
        <v>54</v>
      </c>
      <c r="F56" s="11" t="n">
        <v>20</v>
      </c>
      <c r="G56" s="11" t="n">
        <v>1</v>
      </c>
      <c r="H56" s="13" t="n">
        <v>88</v>
      </c>
      <c r="I56" s="16" t="n">
        <v>0.1</v>
      </c>
      <c r="J56" s="13" t="n">
        <f aca="false">G56*H56</f>
        <v>88</v>
      </c>
      <c r="K56" s="13" t="n">
        <f aca="false">J56*(1-I56)</f>
        <v>79.2</v>
      </c>
    </row>
    <row r="57" customFormat="false" ht="15" hidden="false" customHeight="false" outlineLevel="0" collapsed="false">
      <c r="A57" s="11" t="n">
        <v>56</v>
      </c>
      <c r="B57" s="15" t="n">
        <v>45685</v>
      </c>
      <c r="C57" s="11" t="n">
        <v>5</v>
      </c>
      <c r="D57" s="11" t="n">
        <v>10</v>
      </c>
      <c r="E57" s="11" t="n">
        <v>28</v>
      </c>
      <c r="F57" s="11" t="n">
        <v>6</v>
      </c>
      <c r="G57" s="11" t="n">
        <v>1</v>
      </c>
      <c r="H57" s="13" t="n">
        <v>62</v>
      </c>
      <c r="I57" s="16" t="n">
        <v>0.05</v>
      </c>
      <c r="J57" s="13" t="n">
        <f aca="false">G57*H57</f>
        <v>62</v>
      </c>
      <c r="K57" s="13" t="n">
        <f aca="false">J57*(1-I57)</f>
        <v>58.9</v>
      </c>
    </row>
    <row r="58" customFormat="false" ht="15" hidden="false" customHeight="false" outlineLevel="0" collapsed="false">
      <c r="A58" s="11" t="n">
        <v>57</v>
      </c>
      <c r="B58" s="15" t="n">
        <v>45686</v>
      </c>
      <c r="C58" s="11" t="n">
        <v>4</v>
      </c>
      <c r="D58" s="11" t="n">
        <v>9</v>
      </c>
      <c r="E58" s="11" t="n">
        <v>57</v>
      </c>
      <c r="F58" s="11" t="n">
        <v>18</v>
      </c>
      <c r="G58" s="11" t="n">
        <v>1</v>
      </c>
      <c r="H58" s="13" t="n">
        <v>95</v>
      </c>
      <c r="I58" s="16" t="n">
        <v>0.1</v>
      </c>
      <c r="J58" s="13" t="n">
        <f aca="false">G58*H58</f>
        <v>95</v>
      </c>
      <c r="K58" s="13" t="n">
        <f aca="false">J58*(1-I58)</f>
        <v>85.5</v>
      </c>
    </row>
    <row r="59" customFormat="false" ht="15" hidden="false" customHeight="false" outlineLevel="0" collapsed="false">
      <c r="A59" s="11" t="n">
        <v>58</v>
      </c>
      <c r="B59" s="15" t="n">
        <v>45687</v>
      </c>
      <c r="C59" s="11" t="n">
        <v>4</v>
      </c>
      <c r="D59" s="11" t="n">
        <v>9</v>
      </c>
      <c r="E59" s="11" t="n">
        <v>30</v>
      </c>
      <c r="F59" s="11" t="n">
        <v>1</v>
      </c>
      <c r="G59" s="11" t="n">
        <v>5</v>
      </c>
      <c r="H59" s="13" t="n">
        <v>35</v>
      </c>
      <c r="I59" s="16" t="n">
        <v>0</v>
      </c>
      <c r="J59" s="13" t="n">
        <f aca="false">G59*H59</f>
        <v>175</v>
      </c>
      <c r="K59" s="13" t="n">
        <f aca="false">J59*(1-I59)</f>
        <v>175</v>
      </c>
    </row>
    <row r="60" customFormat="false" ht="15" hidden="false" customHeight="false" outlineLevel="0" collapsed="false">
      <c r="A60" s="11" t="n">
        <v>59</v>
      </c>
      <c r="B60" s="15" t="n">
        <v>45687</v>
      </c>
      <c r="C60" s="11" t="n">
        <v>3</v>
      </c>
      <c r="D60" s="11" t="n">
        <v>7</v>
      </c>
      <c r="E60" s="11" t="n">
        <v>32</v>
      </c>
      <c r="F60" s="11" t="n">
        <v>1</v>
      </c>
      <c r="G60" s="11" t="n">
        <v>1</v>
      </c>
      <c r="H60" s="13" t="n">
        <v>35</v>
      </c>
      <c r="I60" s="16" t="n">
        <v>0</v>
      </c>
      <c r="J60" s="13" t="n">
        <f aca="false">G60*H60</f>
        <v>35</v>
      </c>
      <c r="K60" s="13" t="n">
        <f aca="false">J60*(1-I60)</f>
        <v>35</v>
      </c>
    </row>
    <row r="61" customFormat="false" ht="15" hidden="false" customHeight="false" outlineLevel="0" collapsed="false">
      <c r="A61" s="11" t="n">
        <v>60</v>
      </c>
      <c r="B61" s="15" t="n">
        <v>45687</v>
      </c>
      <c r="C61" s="11" t="n">
        <v>3</v>
      </c>
      <c r="D61" s="11" t="n">
        <v>7</v>
      </c>
      <c r="E61" s="11" t="n">
        <v>55</v>
      </c>
      <c r="F61" s="11" t="n">
        <v>14</v>
      </c>
      <c r="G61" s="11" t="n">
        <v>2</v>
      </c>
      <c r="H61" s="13" t="n">
        <v>38</v>
      </c>
      <c r="I61" s="16" t="n">
        <v>0</v>
      </c>
      <c r="J61" s="13" t="n">
        <f aca="false">G61*H61</f>
        <v>76</v>
      </c>
      <c r="K61" s="13" t="n">
        <f aca="false">J61*(1-I61)</f>
        <v>76</v>
      </c>
    </row>
    <row r="62" customFormat="false" ht="15" hidden="false" customHeight="false" outlineLevel="0" collapsed="false">
      <c r="A62" s="11" t="n">
        <v>61</v>
      </c>
      <c r="B62" s="15" t="n">
        <v>45687</v>
      </c>
      <c r="C62" s="11" t="n">
        <v>3</v>
      </c>
      <c r="D62" s="11" t="n">
        <v>6</v>
      </c>
      <c r="E62" s="11" t="n">
        <v>41</v>
      </c>
      <c r="F62" s="11" t="n">
        <v>17</v>
      </c>
      <c r="G62" s="11" t="n">
        <v>5</v>
      </c>
      <c r="H62" s="13" t="n">
        <v>28</v>
      </c>
      <c r="I62" s="16" t="n">
        <v>0</v>
      </c>
      <c r="J62" s="13" t="n">
        <f aca="false">G62*H62</f>
        <v>140</v>
      </c>
      <c r="K62" s="13" t="n">
        <f aca="false">J62*(1-I62)</f>
        <v>140</v>
      </c>
    </row>
    <row r="63" customFormat="false" ht="15" hidden="false" customHeight="false" outlineLevel="0" collapsed="false">
      <c r="A63" s="11" t="n">
        <v>62</v>
      </c>
      <c r="B63" s="15" t="n">
        <v>45687</v>
      </c>
      <c r="C63" s="11" t="n">
        <v>5</v>
      </c>
      <c r="D63" s="11" t="n">
        <v>10</v>
      </c>
      <c r="E63" s="11" t="n">
        <v>50</v>
      </c>
      <c r="F63" s="11" t="n">
        <v>9</v>
      </c>
      <c r="G63" s="11" t="n">
        <v>1</v>
      </c>
      <c r="H63" s="13" t="n">
        <v>40</v>
      </c>
      <c r="I63" s="16" t="n">
        <v>0</v>
      </c>
      <c r="J63" s="13" t="n">
        <f aca="false">G63*H63</f>
        <v>40</v>
      </c>
      <c r="K63" s="13" t="n">
        <f aca="false">J63*(1-I63)</f>
        <v>40</v>
      </c>
    </row>
    <row r="64" customFormat="false" ht="15" hidden="false" customHeight="false" outlineLevel="0" collapsed="false">
      <c r="A64" s="11" t="n">
        <v>63</v>
      </c>
      <c r="B64" s="15" t="n">
        <v>45688</v>
      </c>
      <c r="C64" s="11" t="n">
        <v>2</v>
      </c>
      <c r="D64" s="11" t="n">
        <v>4</v>
      </c>
      <c r="E64" s="11" t="n">
        <v>50</v>
      </c>
      <c r="F64" s="11" t="n">
        <v>2</v>
      </c>
      <c r="G64" s="11" t="n">
        <v>2</v>
      </c>
      <c r="H64" s="13" t="n">
        <v>45</v>
      </c>
      <c r="I64" s="16" t="n">
        <v>0.1</v>
      </c>
      <c r="J64" s="13" t="n">
        <f aca="false">G64*H64</f>
        <v>90</v>
      </c>
      <c r="K64" s="13" t="n">
        <f aca="false">J64*(1-I64)</f>
        <v>81</v>
      </c>
    </row>
    <row r="65" customFormat="false" ht="15" hidden="false" customHeight="false" outlineLevel="0" collapsed="false">
      <c r="A65" s="11" t="n">
        <v>64</v>
      </c>
      <c r="B65" s="15" t="n">
        <v>45688</v>
      </c>
      <c r="C65" s="11" t="n">
        <v>2</v>
      </c>
      <c r="D65" s="11" t="n">
        <v>5</v>
      </c>
      <c r="E65" s="11" t="n">
        <v>16</v>
      </c>
      <c r="F65" s="11" t="n">
        <v>7</v>
      </c>
      <c r="G65" s="11" t="n">
        <v>2</v>
      </c>
      <c r="H65" s="13" t="n">
        <v>50</v>
      </c>
      <c r="I65" s="16" t="n">
        <v>0</v>
      </c>
      <c r="J65" s="13" t="n">
        <f aca="false">G65*H65</f>
        <v>100</v>
      </c>
      <c r="K65" s="13" t="n">
        <f aca="false">J65*(1-I65)</f>
        <v>100</v>
      </c>
    </row>
    <row r="66" customFormat="false" ht="15" hidden="false" customHeight="false" outlineLevel="0" collapsed="false">
      <c r="A66" s="11" t="n">
        <v>65</v>
      </c>
      <c r="B66" s="15" t="n">
        <v>45688</v>
      </c>
      <c r="C66" s="11" t="n">
        <v>3</v>
      </c>
      <c r="D66" s="11" t="n">
        <v>6</v>
      </c>
      <c r="E66" s="11" t="n">
        <v>41</v>
      </c>
      <c r="F66" s="11" t="n">
        <v>14</v>
      </c>
      <c r="G66" s="11" t="n">
        <v>2</v>
      </c>
      <c r="H66" s="13" t="n">
        <v>38</v>
      </c>
      <c r="I66" s="16" t="n">
        <v>0</v>
      </c>
      <c r="J66" s="13" t="n">
        <f aca="false">G66*H66</f>
        <v>76</v>
      </c>
      <c r="K66" s="13" t="n">
        <f aca="false">J66*(1-I66)</f>
        <v>76</v>
      </c>
    </row>
    <row r="67" customFormat="false" ht="15" hidden="false" customHeight="false" outlineLevel="0" collapsed="false">
      <c r="A67" s="11" t="n">
        <v>66</v>
      </c>
      <c r="B67" s="15" t="n">
        <v>45688</v>
      </c>
      <c r="C67" s="11" t="n">
        <v>3</v>
      </c>
      <c r="D67" s="11" t="n">
        <v>7</v>
      </c>
      <c r="E67" s="11" t="n">
        <v>35</v>
      </c>
      <c r="F67" s="11" t="n">
        <v>11</v>
      </c>
      <c r="G67" s="11" t="n">
        <v>1</v>
      </c>
      <c r="H67" s="13" t="n">
        <v>72</v>
      </c>
      <c r="I67" s="16" t="n">
        <v>0</v>
      </c>
      <c r="J67" s="13" t="n">
        <f aca="false">G67*H67</f>
        <v>72</v>
      </c>
      <c r="K67" s="13" t="n">
        <f aca="false">J67*(1-I67)</f>
        <v>72</v>
      </c>
    </row>
    <row r="68" customFormat="false" ht="15" hidden="false" customHeight="false" outlineLevel="0" collapsed="false">
      <c r="A68" s="11" t="n">
        <v>67</v>
      </c>
      <c r="B68" s="15" t="n">
        <v>45688</v>
      </c>
      <c r="C68" s="11" t="n">
        <v>2</v>
      </c>
      <c r="D68" s="11" t="n">
        <v>5</v>
      </c>
      <c r="E68" s="11" t="n">
        <v>18</v>
      </c>
      <c r="F68" s="11" t="n">
        <v>4</v>
      </c>
      <c r="G68" s="11" t="n">
        <v>2</v>
      </c>
      <c r="H68" s="13" t="n">
        <v>55</v>
      </c>
      <c r="I68" s="16" t="n">
        <v>0</v>
      </c>
      <c r="J68" s="13" t="n">
        <f aca="false">G68*H68</f>
        <v>110</v>
      </c>
      <c r="K68" s="13" t="n">
        <f aca="false">J68*(1-I68)</f>
        <v>110</v>
      </c>
    </row>
    <row r="69" customFormat="false" ht="15" hidden="false" customHeight="false" outlineLevel="0" collapsed="false">
      <c r="A69" s="11" t="n">
        <v>68</v>
      </c>
      <c r="B69" s="15" t="n">
        <v>45689</v>
      </c>
      <c r="C69" s="11" t="n">
        <v>2</v>
      </c>
      <c r="D69" s="11" t="n">
        <v>5</v>
      </c>
      <c r="E69" s="11" t="n">
        <v>19</v>
      </c>
      <c r="F69" s="11" t="n">
        <v>2</v>
      </c>
      <c r="G69" s="11" t="n">
        <v>1</v>
      </c>
      <c r="H69" s="13" t="n">
        <v>45</v>
      </c>
      <c r="I69" s="16" t="n">
        <v>0</v>
      </c>
      <c r="J69" s="13" t="n">
        <f aca="false">G69*H69</f>
        <v>45</v>
      </c>
      <c r="K69" s="13" t="n">
        <f aca="false">J69*(1-I69)</f>
        <v>45</v>
      </c>
    </row>
    <row r="70" customFormat="false" ht="15" hidden="false" customHeight="false" outlineLevel="0" collapsed="false">
      <c r="A70" s="11" t="n">
        <v>69</v>
      </c>
      <c r="B70" s="15" t="n">
        <v>45689</v>
      </c>
      <c r="C70" s="11" t="n">
        <v>2</v>
      </c>
      <c r="D70" s="11" t="n">
        <v>5</v>
      </c>
      <c r="E70" s="11" t="n">
        <v>10</v>
      </c>
      <c r="F70" s="11" t="n">
        <v>14</v>
      </c>
      <c r="G70" s="11" t="n">
        <v>2</v>
      </c>
      <c r="H70" s="13" t="n">
        <v>38</v>
      </c>
      <c r="I70" s="16" t="n">
        <v>0</v>
      </c>
      <c r="J70" s="13" t="n">
        <f aca="false">G70*H70</f>
        <v>76</v>
      </c>
      <c r="K70" s="13" t="n">
        <f aca="false">J70*(1-I70)</f>
        <v>76</v>
      </c>
    </row>
    <row r="71" customFormat="false" ht="15" hidden="false" customHeight="false" outlineLevel="0" collapsed="false">
      <c r="A71" s="11" t="n">
        <v>70</v>
      </c>
      <c r="B71" s="15" t="n">
        <v>45689</v>
      </c>
      <c r="C71" s="11" t="n">
        <v>2</v>
      </c>
      <c r="D71" s="11" t="n">
        <v>4</v>
      </c>
      <c r="E71" s="11" t="n">
        <v>59</v>
      </c>
      <c r="F71" s="11" t="n">
        <v>1</v>
      </c>
      <c r="G71" s="11" t="n">
        <v>1</v>
      </c>
      <c r="H71" s="13" t="n">
        <v>35</v>
      </c>
      <c r="I71" s="16" t="n">
        <v>0.1</v>
      </c>
      <c r="J71" s="13" t="n">
        <f aca="false">G71*H71</f>
        <v>35</v>
      </c>
      <c r="K71" s="13" t="n">
        <f aca="false">J71*(1-I71)</f>
        <v>31.5</v>
      </c>
    </row>
    <row r="72" customFormat="false" ht="15" hidden="false" customHeight="false" outlineLevel="0" collapsed="false">
      <c r="A72" s="11" t="n">
        <v>71</v>
      </c>
      <c r="B72" s="15" t="n">
        <v>45690</v>
      </c>
      <c r="C72" s="11" t="n">
        <v>5</v>
      </c>
      <c r="D72" s="11" t="n">
        <v>10</v>
      </c>
      <c r="E72" s="11" t="n">
        <v>21</v>
      </c>
      <c r="F72" s="11" t="n">
        <v>3</v>
      </c>
      <c r="G72" s="11" t="n">
        <v>2</v>
      </c>
      <c r="H72" s="13" t="n">
        <v>38</v>
      </c>
      <c r="I72" s="16" t="n">
        <v>0</v>
      </c>
      <c r="J72" s="13" t="n">
        <f aca="false">G72*H72</f>
        <v>76</v>
      </c>
      <c r="K72" s="13" t="n">
        <f aca="false">J72*(1-I72)</f>
        <v>76</v>
      </c>
    </row>
    <row r="73" customFormat="false" ht="15" hidden="false" customHeight="false" outlineLevel="0" collapsed="false">
      <c r="A73" s="11" t="n">
        <v>72</v>
      </c>
      <c r="B73" s="15" t="n">
        <v>45691</v>
      </c>
      <c r="C73" s="11" t="n">
        <v>4</v>
      </c>
      <c r="D73" s="11" t="n">
        <v>9</v>
      </c>
      <c r="E73" s="11" t="n">
        <v>40</v>
      </c>
      <c r="F73" s="11" t="n">
        <v>1</v>
      </c>
      <c r="G73" s="11" t="n">
        <v>2</v>
      </c>
      <c r="H73" s="13" t="n">
        <v>35</v>
      </c>
      <c r="I73" s="16" t="n">
        <v>0</v>
      </c>
      <c r="J73" s="13" t="n">
        <f aca="false">G73*H73</f>
        <v>70</v>
      </c>
      <c r="K73" s="13" t="n">
        <f aca="false">J73*(1-I73)</f>
        <v>70</v>
      </c>
    </row>
    <row r="74" customFormat="false" ht="15" hidden="false" customHeight="false" outlineLevel="0" collapsed="false">
      <c r="A74" s="11" t="n">
        <v>73</v>
      </c>
      <c r="B74" s="15" t="n">
        <v>45691</v>
      </c>
      <c r="C74" s="11" t="n">
        <v>2</v>
      </c>
      <c r="D74" s="11" t="n">
        <v>4</v>
      </c>
      <c r="E74" s="11" t="n">
        <v>48</v>
      </c>
      <c r="F74" s="11" t="n">
        <v>4</v>
      </c>
      <c r="G74" s="11" t="n">
        <v>2</v>
      </c>
      <c r="H74" s="13" t="n">
        <v>55</v>
      </c>
      <c r="I74" s="16" t="n">
        <v>0</v>
      </c>
      <c r="J74" s="13" t="n">
        <f aca="false">G74*H74</f>
        <v>110</v>
      </c>
      <c r="K74" s="13" t="n">
        <f aca="false">J74*(1-I74)</f>
        <v>110</v>
      </c>
    </row>
    <row r="75" customFormat="false" ht="15" hidden="false" customHeight="false" outlineLevel="0" collapsed="false">
      <c r="A75" s="11" t="n">
        <v>74</v>
      </c>
      <c r="B75" s="15" t="n">
        <v>45693</v>
      </c>
      <c r="C75" s="11" t="n">
        <v>1</v>
      </c>
      <c r="D75" s="11" t="n">
        <v>3</v>
      </c>
      <c r="E75" s="11" t="n">
        <v>10</v>
      </c>
      <c r="F75" s="11" t="n">
        <v>7</v>
      </c>
      <c r="G75" s="11" t="n">
        <v>1</v>
      </c>
      <c r="H75" s="13" t="n">
        <v>50</v>
      </c>
      <c r="I75" s="16" t="n">
        <v>0</v>
      </c>
      <c r="J75" s="13" t="n">
        <f aca="false">G75*H75</f>
        <v>50</v>
      </c>
      <c r="K75" s="13" t="n">
        <f aca="false">J75*(1-I75)</f>
        <v>50</v>
      </c>
    </row>
    <row r="76" customFormat="false" ht="15" hidden="false" customHeight="false" outlineLevel="0" collapsed="false">
      <c r="A76" s="11" t="n">
        <v>75</v>
      </c>
      <c r="B76" s="15" t="n">
        <v>45693</v>
      </c>
      <c r="C76" s="11" t="n">
        <v>1</v>
      </c>
      <c r="D76" s="11" t="n">
        <v>3</v>
      </c>
      <c r="E76" s="11" t="n">
        <v>38</v>
      </c>
      <c r="F76" s="11" t="n">
        <v>4</v>
      </c>
      <c r="G76" s="11" t="n">
        <v>4</v>
      </c>
      <c r="H76" s="13" t="n">
        <v>55</v>
      </c>
      <c r="I76" s="16" t="n">
        <v>0</v>
      </c>
      <c r="J76" s="13" t="n">
        <f aca="false">G76*H76</f>
        <v>220</v>
      </c>
      <c r="K76" s="13" t="n">
        <f aca="false">J76*(1-I76)</f>
        <v>220</v>
      </c>
    </row>
    <row r="77" customFormat="false" ht="15" hidden="false" customHeight="false" outlineLevel="0" collapsed="false">
      <c r="A77" s="11" t="n">
        <v>76</v>
      </c>
      <c r="B77" s="15" t="n">
        <v>45693</v>
      </c>
      <c r="C77" s="11" t="n">
        <v>3</v>
      </c>
      <c r="D77" s="11" t="n">
        <v>7</v>
      </c>
      <c r="E77" s="11" t="n">
        <v>6</v>
      </c>
      <c r="F77" s="11" t="n">
        <v>3</v>
      </c>
      <c r="G77" s="11" t="n">
        <v>1</v>
      </c>
      <c r="H77" s="13" t="n">
        <v>38</v>
      </c>
      <c r="I77" s="16" t="n">
        <v>0</v>
      </c>
      <c r="J77" s="13" t="n">
        <f aca="false">G77*H77</f>
        <v>38</v>
      </c>
      <c r="K77" s="13" t="n">
        <f aca="false">J77*(1-I77)</f>
        <v>38</v>
      </c>
    </row>
    <row r="78" customFormat="false" ht="15" hidden="false" customHeight="false" outlineLevel="0" collapsed="false">
      <c r="A78" s="11" t="n">
        <v>77</v>
      </c>
      <c r="B78" s="15" t="n">
        <v>45693</v>
      </c>
      <c r="C78" s="11" t="n">
        <v>3</v>
      </c>
      <c r="D78" s="11" t="n">
        <v>7</v>
      </c>
      <c r="E78" s="11" t="n">
        <v>5</v>
      </c>
      <c r="F78" s="11" t="n">
        <v>12</v>
      </c>
      <c r="G78" s="11" t="n">
        <v>2</v>
      </c>
      <c r="H78" s="13" t="n">
        <v>45</v>
      </c>
      <c r="I78" s="16" t="n">
        <v>0</v>
      </c>
      <c r="J78" s="13" t="n">
        <f aca="false">G78*H78</f>
        <v>90</v>
      </c>
      <c r="K78" s="13" t="n">
        <f aca="false">J78*(1-I78)</f>
        <v>90</v>
      </c>
    </row>
    <row r="79" customFormat="false" ht="15" hidden="false" customHeight="false" outlineLevel="0" collapsed="false">
      <c r="A79" s="11" t="n">
        <v>78</v>
      </c>
      <c r="B79" s="15" t="n">
        <v>45693</v>
      </c>
      <c r="C79" s="11" t="n">
        <v>4</v>
      </c>
      <c r="D79" s="11" t="n">
        <v>8</v>
      </c>
      <c r="E79" s="11" t="n">
        <v>10</v>
      </c>
      <c r="F79" s="11" t="n">
        <v>7</v>
      </c>
      <c r="G79" s="11" t="n">
        <v>1</v>
      </c>
      <c r="H79" s="13" t="n">
        <v>50</v>
      </c>
      <c r="I79" s="16" t="n">
        <v>0.05</v>
      </c>
      <c r="J79" s="13" t="n">
        <f aca="false">G79*H79</f>
        <v>50</v>
      </c>
      <c r="K79" s="13" t="n">
        <f aca="false">J79*(1-I79)</f>
        <v>47.5</v>
      </c>
    </row>
    <row r="80" customFormat="false" ht="15" hidden="false" customHeight="false" outlineLevel="0" collapsed="false">
      <c r="A80" s="11" t="n">
        <v>79</v>
      </c>
      <c r="B80" s="15" t="n">
        <v>45694</v>
      </c>
      <c r="C80" s="11" t="n">
        <v>2</v>
      </c>
      <c r="D80" s="11" t="n">
        <v>5</v>
      </c>
      <c r="E80" s="11" t="n">
        <v>21</v>
      </c>
      <c r="F80" s="11" t="n">
        <v>10</v>
      </c>
      <c r="G80" s="11" t="n">
        <v>2</v>
      </c>
      <c r="H80" s="13" t="n">
        <v>70</v>
      </c>
      <c r="I80" s="16" t="n">
        <v>0</v>
      </c>
      <c r="J80" s="13" t="n">
        <f aca="false">G80*H80</f>
        <v>140</v>
      </c>
      <c r="K80" s="13" t="n">
        <f aca="false">J80*(1-I80)</f>
        <v>140</v>
      </c>
    </row>
    <row r="81" customFormat="false" ht="15" hidden="false" customHeight="false" outlineLevel="0" collapsed="false">
      <c r="A81" s="11" t="n">
        <v>80</v>
      </c>
      <c r="B81" s="15" t="n">
        <v>45694</v>
      </c>
      <c r="C81" s="11" t="n">
        <v>2</v>
      </c>
      <c r="D81" s="11" t="n">
        <v>4</v>
      </c>
      <c r="E81" s="11" t="n">
        <v>5</v>
      </c>
      <c r="F81" s="11" t="n">
        <v>16</v>
      </c>
      <c r="G81" s="11" t="n">
        <v>1</v>
      </c>
      <c r="H81" s="13" t="n">
        <v>45</v>
      </c>
      <c r="I81" s="16" t="n">
        <v>0</v>
      </c>
      <c r="J81" s="13" t="n">
        <f aca="false">G81*H81</f>
        <v>45</v>
      </c>
      <c r="K81" s="13" t="n">
        <f aca="false">J81*(1-I81)</f>
        <v>45</v>
      </c>
    </row>
    <row r="82" customFormat="false" ht="15" hidden="false" customHeight="false" outlineLevel="0" collapsed="false">
      <c r="A82" s="11" t="n">
        <v>81</v>
      </c>
      <c r="B82" s="15" t="n">
        <v>45695</v>
      </c>
      <c r="C82" s="11" t="n">
        <v>3</v>
      </c>
      <c r="D82" s="11" t="n">
        <v>7</v>
      </c>
      <c r="E82" s="11" t="n">
        <v>36</v>
      </c>
      <c r="F82" s="11" t="n">
        <v>1</v>
      </c>
      <c r="G82" s="11" t="n">
        <v>1</v>
      </c>
      <c r="H82" s="13" t="n">
        <v>35</v>
      </c>
      <c r="I82" s="16" t="n">
        <v>0.1</v>
      </c>
      <c r="J82" s="13" t="n">
        <f aca="false">G82*H82</f>
        <v>35</v>
      </c>
      <c r="K82" s="13" t="n">
        <f aca="false">J82*(1-I82)</f>
        <v>31.5</v>
      </c>
    </row>
    <row r="83" customFormat="false" ht="15" hidden="false" customHeight="false" outlineLevel="0" collapsed="false">
      <c r="A83" s="11" t="n">
        <v>82</v>
      </c>
      <c r="B83" s="15" t="n">
        <v>45695</v>
      </c>
      <c r="C83" s="11" t="n">
        <v>2</v>
      </c>
      <c r="D83" s="11" t="n">
        <v>5</v>
      </c>
      <c r="E83" s="11" t="n">
        <v>5</v>
      </c>
      <c r="F83" s="11" t="n">
        <v>19</v>
      </c>
      <c r="G83" s="11" t="n">
        <v>2</v>
      </c>
      <c r="H83" s="13" t="n">
        <v>125</v>
      </c>
      <c r="I83" s="16" t="n">
        <v>0</v>
      </c>
      <c r="J83" s="13" t="n">
        <f aca="false">G83*H83</f>
        <v>250</v>
      </c>
      <c r="K83" s="13" t="n">
        <f aca="false">J83*(1-I83)</f>
        <v>250</v>
      </c>
    </row>
    <row r="84" customFormat="false" ht="15" hidden="false" customHeight="false" outlineLevel="0" collapsed="false">
      <c r="A84" s="11" t="n">
        <v>83</v>
      </c>
      <c r="B84" s="15" t="n">
        <v>45695</v>
      </c>
      <c r="C84" s="11" t="n">
        <v>5</v>
      </c>
      <c r="D84" s="11" t="n">
        <v>10</v>
      </c>
      <c r="E84" s="11" t="n">
        <v>27</v>
      </c>
      <c r="F84" s="11" t="n">
        <v>9</v>
      </c>
      <c r="G84" s="11" t="n">
        <v>3</v>
      </c>
      <c r="H84" s="13" t="n">
        <v>40</v>
      </c>
      <c r="I84" s="16" t="n">
        <v>0</v>
      </c>
      <c r="J84" s="13" t="n">
        <f aca="false">G84*H84</f>
        <v>120</v>
      </c>
      <c r="K84" s="13" t="n">
        <f aca="false">J84*(1-I84)</f>
        <v>120</v>
      </c>
    </row>
    <row r="85" customFormat="false" ht="15" hidden="false" customHeight="false" outlineLevel="0" collapsed="false">
      <c r="A85" s="11" t="n">
        <v>84</v>
      </c>
      <c r="B85" s="15" t="n">
        <v>45695</v>
      </c>
      <c r="C85" s="11" t="n">
        <v>2</v>
      </c>
      <c r="D85" s="11" t="n">
        <v>4</v>
      </c>
      <c r="E85" s="11" t="n">
        <v>24</v>
      </c>
      <c r="F85" s="11" t="n">
        <v>12</v>
      </c>
      <c r="G85" s="11" t="n">
        <v>2</v>
      </c>
      <c r="H85" s="13" t="n">
        <v>45</v>
      </c>
      <c r="I85" s="16" t="n">
        <v>0.1</v>
      </c>
      <c r="J85" s="13" t="n">
        <f aca="false">G85*H85</f>
        <v>90</v>
      </c>
      <c r="K85" s="13" t="n">
        <f aca="false">J85*(1-I85)</f>
        <v>81</v>
      </c>
    </row>
    <row r="86" customFormat="false" ht="15" hidden="false" customHeight="false" outlineLevel="0" collapsed="false">
      <c r="A86" s="11" t="n">
        <v>85</v>
      </c>
      <c r="B86" s="15" t="n">
        <v>45696</v>
      </c>
      <c r="C86" s="11" t="n">
        <v>3</v>
      </c>
      <c r="D86" s="11" t="n">
        <v>7</v>
      </c>
      <c r="E86" s="11" t="n">
        <v>59</v>
      </c>
      <c r="F86" s="11" t="n">
        <v>20</v>
      </c>
      <c r="G86" s="11" t="n">
        <v>1</v>
      </c>
      <c r="H86" s="13" t="n">
        <v>88</v>
      </c>
      <c r="I86" s="16" t="n">
        <v>0</v>
      </c>
      <c r="J86" s="13" t="n">
        <f aca="false">G86*H86</f>
        <v>88</v>
      </c>
      <c r="K86" s="13" t="n">
        <f aca="false">J86*(1-I86)</f>
        <v>88</v>
      </c>
    </row>
    <row r="87" customFormat="false" ht="15" hidden="false" customHeight="false" outlineLevel="0" collapsed="false">
      <c r="A87" s="11" t="n">
        <v>86</v>
      </c>
      <c r="B87" s="15" t="n">
        <v>45697</v>
      </c>
      <c r="C87" s="11" t="n">
        <v>3</v>
      </c>
      <c r="D87" s="11" t="n">
        <v>7</v>
      </c>
      <c r="E87" s="11" t="n">
        <v>55</v>
      </c>
      <c r="F87" s="11" t="n">
        <v>18</v>
      </c>
      <c r="G87" s="11" t="n">
        <v>5</v>
      </c>
      <c r="H87" s="13" t="n">
        <v>95</v>
      </c>
      <c r="I87" s="16" t="n">
        <v>0.05</v>
      </c>
      <c r="J87" s="13" t="n">
        <f aca="false">G87*H87</f>
        <v>475</v>
      </c>
      <c r="K87" s="13" t="n">
        <f aca="false">J87*(1-I87)</f>
        <v>451.25</v>
      </c>
    </row>
    <row r="88" customFormat="false" ht="15" hidden="false" customHeight="false" outlineLevel="0" collapsed="false">
      <c r="A88" s="11" t="n">
        <v>87</v>
      </c>
      <c r="B88" s="15" t="n">
        <v>45697</v>
      </c>
      <c r="C88" s="11" t="n">
        <v>4</v>
      </c>
      <c r="D88" s="11" t="n">
        <v>8</v>
      </c>
      <c r="E88" s="11" t="n">
        <v>4</v>
      </c>
      <c r="F88" s="11" t="n">
        <v>13</v>
      </c>
      <c r="G88" s="11" t="n">
        <v>1</v>
      </c>
      <c r="H88" s="13" t="n">
        <v>32</v>
      </c>
      <c r="I88" s="16" t="n">
        <v>0</v>
      </c>
      <c r="J88" s="13" t="n">
        <f aca="false">G88*H88</f>
        <v>32</v>
      </c>
      <c r="K88" s="13" t="n">
        <f aca="false">J88*(1-I88)</f>
        <v>32</v>
      </c>
    </row>
    <row r="89" customFormat="false" ht="15" hidden="false" customHeight="false" outlineLevel="0" collapsed="false">
      <c r="A89" s="11" t="n">
        <v>88</v>
      </c>
      <c r="B89" s="15" t="n">
        <v>45697</v>
      </c>
      <c r="C89" s="11" t="n">
        <v>3</v>
      </c>
      <c r="D89" s="11" t="n">
        <v>7</v>
      </c>
      <c r="E89" s="11" t="n">
        <v>2</v>
      </c>
      <c r="F89" s="11" t="n">
        <v>17</v>
      </c>
      <c r="G89" s="11" t="n">
        <v>3</v>
      </c>
      <c r="H89" s="13" t="n">
        <v>28</v>
      </c>
      <c r="I89" s="16" t="n">
        <v>0</v>
      </c>
      <c r="J89" s="13" t="n">
        <f aca="false">G89*H89</f>
        <v>84</v>
      </c>
      <c r="K89" s="13" t="n">
        <f aca="false">J89*(1-I89)</f>
        <v>84</v>
      </c>
    </row>
    <row r="90" customFormat="false" ht="15" hidden="false" customHeight="false" outlineLevel="0" collapsed="false">
      <c r="A90" s="11" t="n">
        <v>89</v>
      </c>
      <c r="B90" s="15" t="n">
        <v>45698</v>
      </c>
      <c r="C90" s="11" t="n">
        <v>5</v>
      </c>
      <c r="D90" s="11" t="n">
        <v>10</v>
      </c>
      <c r="E90" s="11" t="n">
        <v>16</v>
      </c>
      <c r="F90" s="11" t="n">
        <v>6</v>
      </c>
      <c r="G90" s="11" t="n">
        <v>3</v>
      </c>
      <c r="H90" s="13" t="n">
        <v>62</v>
      </c>
      <c r="I90" s="16" t="n">
        <v>0.1</v>
      </c>
      <c r="J90" s="13" t="n">
        <f aca="false">G90*H90</f>
        <v>186</v>
      </c>
      <c r="K90" s="13" t="n">
        <f aca="false">J90*(1-I90)</f>
        <v>167.4</v>
      </c>
    </row>
    <row r="91" customFormat="false" ht="15" hidden="false" customHeight="false" outlineLevel="0" collapsed="false">
      <c r="A91" s="11" t="n">
        <v>90</v>
      </c>
      <c r="B91" s="15" t="n">
        <v>45698</v>
      </c>
      <c r="C91" s="11" t="n">
        <v>1</v>
      </c>
      <c r="D91" s="11" t="n">
        <v>3</v>
      </c>
      <c r="E91" s="11" t="n">
        <v>33</v>
      </c>
      <c r="F91" s="11" t="n">
        <v>10</v>
      </c>
      <c r="G91" s="11" t="n">
        <v>2</v>
      </c>
      <c r="H91" s="13" t="n">
        <v>70</v>
      </c>
      <c r="I91" s="16" t="n">
        <v>0</v>
      </c>
      <c r="J91" s="13" t="n">
        <f aca="false">G91*H91</f>
        <v>140</v>
      </c>
      <c r="K91" s="13" t="n">
        <f aca="false">J91*(1-I91)</f>
        <v>140</v>
      </c>
    </row>
    <row r="92" customFormat="false" ht="15" hidden="false" customHeight="false" outlineLevel="0" collapsed="false">
      <c r="A92" s="11" t="n">
        <v>91</v>
      </c>
      <c r="B92" s="15" t="n">
        <v>45698</v>
      </c>
      <c r="C92" s="11" t="n">
        <v>4</v>
      </c>
      <c r="D92" s="11" t="n">
        <v>9</v>
      </c>
      <c r="E92" s="11" t="n">
        <v>57</v>
      </c>
      <c r="F92" s="11" t="n">
        <v>14</v>
      </c>
      <c r="G92" s="11" t="n">
        <v>1</v>
      </c>
      <c r="H92" s="13" t="n">
        <v>38</v>
      </c>
      <c r="I92" s="16" t="n">
        <v>0</v>
      </c>
      <c r="J92" s="13" t="n">
        <f aca="false">G92*H92</f>
        <v>38</v>
      </c>
      <c r="K92" s="13" t="n">
        <f aca="false">J92*(1-I92)</f>
        <v>38</v>
      </c>
    </row>
    <row r="93" customFormat="false" ht="15" hidden="false" customHeight="false" outlineLevel="0" collapsed="false">
      <c r="A93" s="11" t="n">
        <v>92</v>
      </c>
      <c r="B93" s="15" t="n">
        <v>45698</v>
      </c>
      <c r="C93" s="11" t="n">
        <v>4</v>
      </c>
      <c r="D93" s="11" t="n">
        <v>9</v>
      </c>
      <c r="E93" s="11" t="n">
        <v>23</v>
      </c>
      <c r="F93" s="11" t="n">
        <v>9</v>
      </c>
      <c r="G93" s="11" t="n">
        <v>1</v>
      </c>
      <c r="H93" s="13" t="n">
        <v>40</v>
      </c>
      <c r="I93" s="16" t="n">
        <v>0.1</v>
      </c>
      <c r="J93" s="13" t="n">
        <f aca="false">G93*H93</f>
        <v>40</v>
      </c>
      <c r="K93" s="13" t="n">
        <f aca="false">J93*(1-I93)</f>
        <v>36</v>
      </c>
    </row>
    <row r="94" customFormat="false" ht="15" hidden="false" customHeight="false" outlineLevel="0" collapsed="false">
      <c r="A94" s="11" t="n">
        <v>93</v>
      </c>
      <c r="B94" s="15" t="n">
        <v>45698</v>
      </c>
      <c r="C94" s="11" t="n">
        <v>1</v>
      </c>
      <c r="D94" s="11" t="n">
        <v>1</v>
      </c>
      <c r="E94" s="11" t="n">
        <v>34</v>
      </c>
      <c r="F94" s="11" t="n">
        <v>4</v>
      </c>
      <c r="G94" s="11" t="n">
        <v>1</v>
      </c>
      <c r="H94" s="13" t="n">
        <v>55</v>
      </c>
      <c r="I94" s="16" t="n">
        <v>0</v>
      </c>
      <c r="J94" s="13" t="n">
        <f aca="false">G94*H94</f>
        <v>55</v>
      </c>
      <c r="K94" s="13" t="n">
        <f aca="false">J94*(1-I94)</f>
        <v>55</v>
      </c>
    </row>
    <row r="95" customFormat="false" ht="15" hidden="false" customHeight="false" outlineLevel="0" collapsed="false">
      <c r="A95" s="11" t="n">
        <v>94</v>
      </c>
      <c r="B95" s="15" t="n">
        <v>45698</v>
      </c>
      <c r="C95" s="11" t="n">
        <v>3</v>
      </c>
      <c r="D95" s="11" t="n">
        <v>7</v>
      </c>
      <c r="E95" s="11" t="n">
        <v>50</v>
      </c>
      <c r="F95" s="11" t="n">
        <v>1</v>
      </c>
      <c r="G95" s="11" t="n">
        <v>1</v>
      </c>
      <c r="H95" s="13" t="n">
        <v>35</v>
      </c>
      <c r="I95" s="16" t="n">
        <v>0</v>
      </c>
      <c r="J95" s="13" t="n">
        <f aca="false">G95*H95</f>
        <v>35</v>
      </c>
      <c r="K95" s="13" t="n">
        <f aca="false">J95*(1-I95)</f>
        <v>35</v>
      </c>
    </row>
    <row r="96" customFormat="false" ht="15" hidden="false" customHeight="false" outlineLevel="0" collapsed="false">
      <c r="A96" s="11" t="n">
        <v>95</v>
      </c>
      <c r="B96" s="15" t="n">
        <v>45699</v>
      </c>
      <c r="C96" s="11" t="n">
        <v>2</v>
      </c>
      <c r="D96" s="11" t="n">
        <v>5</v>
      </c>
      <c r="E96" s="11" t="n">
        <v>9</v>
      </c>
      <c r="F96" s="11" t="n">
        <v>13</v>
      </c>
      <c r="G96" s="11" t="n">
        <v>2</v>
      </c>
      <c r="H96" s="13" t="n">
        <v>32</v>
      </c>
      <c r="I96" s="16" t="n">
        <v>0</v>
      </c>
      <c r="J96" s="13" t="n">
        <f aca="false">G96*H96</f>
        <v>64</v>
      </c>
      <c r="K96" s="13" t="n">
        <f aca="false">J96*(1-I96)</f>
        <v>64</v>
      </c>
    </row>
    <row r="97" customFormat="false" ht="15" hidden="false" customHeight="false" outlineLevel="0" collapsed="false">
      <c r="A97" s="11" t="n">
        <v>96</v>
      </c>
      <c r="B97" s="15" t="n">
        <v>45699</v>
      </c>
      <c r="C97" s="11" t="n">
        <v>4</v>
      </c>
      <c r="D97" s="11" t="n">
        <v>8</v>
      </c>
      <c r="E97" s="11" t="n">
        <v>32</v>
      </c>
      <c r="F97" s="11" t="n">
        <v>19</v>
      </c>
      <c r="G97" s="11" t="n">
        <v>3</v>
      </c>
      <c r="H97" s="13" t="n">
        <v>125</v>
      </c>
      <c r="I97" s="16" t="n">
        <v>0</v>
      </c>
      <c r="J97" s="13" t="n">
        <f aca="false">G97*H97</f>
        <v>375</v>
      </c>
      <c r="K97" s="13" t="n">
        <f aca="false">J97*(1-I97)</f>
        <v>375</v>
      </c>
    </row>
    <row r="98" customFormat="false" ht="15" hidden="false" customHeight="false" outlineLevel="0" collapsed="false">
      <c r="A98" s="11" t="n">
        <v>97</v>
      </c>
      <c r="B98" s="15" t="n">
        <v>45700</v>
      </c>
      <c r="C98" s="11" t="n">
        <v>3</v>
      </c>
      <c r="D98" s="11" t="n">
        <v>7</v>
      </c>
      <c r="E98" s="11" t="n">
        <v>46</v>
      </c>
      <c r="F98" s="11" t="n">
        <v>5</v>
      </c>
      <c r="G98" s="11" t="n">
        <v>1</v>
      </c>
      <c r="H98" s="13" t="n">
        <v>58</v>
      </c>
      <c r="I98" s="16" t="n">
        <v>0</v>
      </c>
      <c r="J98" s="13" t="n">
        <f aca="false">G98*H98</f>
        <v>58</v>
      </c>
      <c r="K98" s="13" t="n">
        <f aca="false">J98*(1-I98)</f>
        <v>58</v>
      </c>
    </row>
    <row r="99" customFormat="false" ht="15" hidden="false" customHeight="false" outlineLevel="0" collapsed="false">
      <c r="A99" s="11" t="n">
        <v>98</v>
      </c>
      <c r="B99" s="15" t="n">
        <v>45700</v>
      </c>
      <c r="C99" s="11" t="n">
        <v>2</v>
      </c>
      <c r="D99" s="11" t="n">
        <v>5</v>
      </c>
      <c r="E99" s="11" t="n">
        <v>43</v>
      </c>
      <c r="F99" s="11" t="n">
        <v>4</v>
      </c>
      <c r="G99" s="11" t="n">
        <v>3</v>
      </c>
      <c r="H99" s="13" t="n">
        <v>55</v>
      </c>
      <c r="I99" s="16" t="n">
        <v>0</v>
      </c>
      <c r="J99" s="13" t="n">
        <f aca="false">G99*H99</f>
        <v>165</v>
      </c>
      <c r="K99" s="13" t="n">
        <f aca="false">J99*(1-I99)</f>
        <v>165</v>
      </c>
    </row>
    <row r="100" customFormat="false" ht="15" hidden="false" customHeight="false" outlineLevel="0" collapsed="false">
      <c r="A100" s="11" t="n">
        <v>99</v>
      </c>
      <c r="B100" s="15" t="n">
        <v>45700</v>
      </c>
      <c r="C100" s="11" t="n">
        <v>1</v>
      </c>
      <c r="D100" s="11" t="n">
        <v>2</v>
      </c>
      <c r="E100" s="11" t="n">
        <v>43</v>
      </c>
      <c r="F100" s="11" t="n">
        <v>6</v>
      </c>
      <c r="G100" s="11" t="n">
        <v>1</v>
      </c>
      <c r="H100" s="13" t="n">
        <v>62</v>
      </c>
      <c r="I100" s="16" t="n">
        <v>0</v>
      </c>
      <c r="J100" s="13" t="n">
        <f aca="false">G100*H100</f>
        <v>62</v>
      </c>
      <c r="K100" s="13" t="n">
        <f aca="false">J100*(1-I100)</f>
        <v>62</v>
      </c>
    </row>
    <row r="101" customFormat="false" ht="15" hidden="false" customHeight="false" outlineLevel="0" collapsed="false">
      <c r="A101" s="11" t="n">
        <v>100</v>
      </c>
      <c r="B101" s="15" t="n">
        <v>45701</v>
      </c>
      <c r="C101" s="11" t="n">
        <v>2</v>
      </c>
      <c r="D101" s="11" t="n">
        <v>4</v>
      </c>
      <c r="E101" s="11" t="n">
        <v>2</v>
      </c>
      <c r="F101" s="11" t="n">
        <v>7</v>
      </c>
      <c r="G101" s="11" t="n">
        <v>1</v>
      </c>
      <c r="H101" s="13" t="n">
        <v>50</v>
      </c>
      <c r="I101" s="16" t="n">
        <v>0.1</v>
      </c>
      <c r="J101" s="13" t="n">
        <f aca="false">G101*H101</f>
        <v>50</v>
      </c>
      <c r="K101" s="13" t="n">
        <f aca="false">J101*(1-I101)</f>
        <v>45</v>
      </c>
    </row>
    <row r="102" customFormat="false" ht="15" hidden="false" customHeight="false" outlineLevel="0" collapsed="false">
      <c r="A102" s="11" t="n">
        <v>101</v>
      </c>
      <c r="B102" s="15" t="n">
        <v>45703</v>
      </c>
      <c r="C102" s="11" t="n">
        <v>3</v>
      </c>
      <c r="D102" s="11" t="n">
        <v>6</v>
      </c>
      <c r="E102" s="11" t="n">
        <v>5</v>
      </c>
      <c r="F102" s="11" t="n">
        <v>18</v>
      </c>
      <c r="G102" s="11" t="n">
        <v>1</v>
      </c>
      <c r="H102" s="13" t="n">
        <v>95</v>
      </c>
      <c r="I102" s="16" t="n">
        <v>0</v>
      </c>
      <c r="J102" s="13" t="n">
        <f aca="false">G102*H102</f>
        <v>95</v>
      </c>
      <c r="K102" s="13" t="n">
        <f aca="false">J102*(1-I102)</f>
        <v>95</v>
      </c>
    </row>
    <row r="103" customFormat="false" ht="15" hidden="false" customHeight="false" outlineLevel="0" collapsed="false">
      <c r="A103" s="11" t="n">
        <v>102</v>
      </c>
      <c r="B103" s="15" t="n">
        <v>45703</v>
      </c>
      <c r="C103" s="11" t="n">
        <v>4</v>
      </c>
      <c r="D103" s="11" t="n">
        <v>8</v>
      </c>
      <c r="E103" s="11" t="n">
        <v>35</v>
      </c>
      <c r="F103" s="11" t="n">
        <v>7</v>
      </c>
      <c r="G103" s="11" t="n">
        <v>1</v>
      </c>
      <c r="H103" s="13" t="n">
        <v>50</v>
      </c>
      <c r="I103" s="16" t="n">
        <v>0</v>
      </c>
      <c r="J103" s="13" t="n">
        <f aca="false">G103*H103</f>
        <v>50</v>
      </c>
      <c r="K103" s="13" t="n">
        <f aca="false">J103*(1-I103)</f>
        <v>50</v>
      </c>
    </row>
    <row r="104" customFormat="false" ht="15" hidden="false" customHeight="false" outlineLevel="0" collapsed="false">
      <c r="A104" s="11" t="n">
        <v>103</v>
      </c>
      <c r="B104" s="15" t="n">
        <v>45703</v>
      </c>
      <c r="C104" s="11" t="n">
        <v>3</v>
      </c>
      <c r="D104" s="11" t="n">
        <v>7</v>
      </c>
      <c r="E104" s="11" t="n">
        <v>55</v>
      </c>
      <c r="F104" s="11" t="n">
        <v>3</v>
      </c>
      <c r="G104" s="11" t="n">
        <v>2</v>
      </c>
      <c r="H104" s="13" t="n">
        <v>38</v>
      </c>
      <c r="I104" s="16" t="n">
        <v>0</v>
      </c>
      <c r="J104" s="13" t="n">
        <f aca="false">G104*H104</f>
        <v>76</v>
      </c>
      <c r="K104" s="13" t="n">
        <f aca="false">J104*(1-I104)</f>
        <v>76</v>
      </c>
    </row>
    <row r="105" customFormat="false" ht="15" hidden="false" customHeight="false" outlineLevel="0" collapsed="false">
      <c r="A105" s="11" t="n">
        <v>104</v>
      </c>
      <c r="B105" s="15" t="n">
        <v>45703</v>
      </c>
      <c r="C105" s="11" t="n">
        <v>3</v>
      </c>
      <c r="D105" s="11" t="n">
        <v>6</v>
      </c>
      <c r="E105" s="11" t="n">
        <v>34</v>
      </c>
      <c r="F105" s="11" t="n">
        <v>13</v>
      </c>
      <c r="G105" s="11" t="n">
        <v>2</v>
      </c>
      <c r="H105" s="13" t="n">
        <v>32</v>
      </c>
      <c r="I105" s="16" t="n">
        <v>0.15</v>
      </c>
      <c r="J105" s="13" t="n">
        <f aca="false">G105*H105</f>
        <v>64</v>
      </c>
      <c r="K105" s="13" t="n">
        <f aca="false">J105*(1-I105)</f>
        <v>54.4</v>
      </c>
    </row>
    <row r="106" customFormat="false" ht="15" hidden="false" customHeight="false" outlineLevel="0" collapsed="false">
      <c r="A106" s="11" t="n">
        <v>105</v>
      </c>
      <c r="B106" s="15" t="n">
        <v>45703</v>
      </c>
      <c r="C106" s="11" t="n">
        <v>2</v>
      </c>
      <c r="D106" s="11" t="n">
        <v>5</v>
      </c>
      <c r="E106" s="11" t="n">
        <v>29</v>
      </c>
      <c r="F106" s="11" t="n">
        <v>15</v>
      </c>
      <c r="G106" s="11" t="n">
        <v>1</v>
      </c>
      <c r="H106" s="13" t="n">
        <v>65</v>
      </c>
      <c r="I106" s="16" t="n">
        <v>0</v>
      </c>
      <c r="J106" s="13" t="n">
        <f aca="false">G106*H106</f>
        <v>65</v>
      </c>
      <c r="K106" s="13" t="n">
        <f aca="false">J106*(1-I106)</f>
        <v>65</v>
      </c>
    </row>
    <row r="107" customFormat="false" ht="15" hidden="false" customHeight="false" outlineLevel="0" collapsed="false">
      <c r="A107" s="11" t="n">
        <v>106</v>
      </c>
      <c r="B107" s="15" t="n">
        <v>45703</v>
      </c>
      <c r="C107" s="11" t="n">
        <v>2</v>
      </c>
      <c r="D107" s="11" t="n">
        <v>5</v>
      </c>
      <c r="E107" s="11" t="n">
        <v>20</v>
      </c>
      <c r="F107" s="11" t="n">
        <v>5</v>
      </c>
      <c r="G107" s="11" t="n">
        <v>5</v>
      </c>
      <c r="H107" s="13" t="n">
        <v>58</v>
      </c>
      <c r="I107" s="16" t="n">
        <v>0</v>
      </c>
      <c r="J107" s="13" t="n">
        <f aca="false">G107*H107</f>
        <v>290</v>
      </c>
      <c r="K107" s="13" t="n">
        <f aca="false">J107*(1-I107)</f>
        <v>290</v>
      </c>
    </row>
    <row r="108" customFormat="false" ht="15" hidden="false" customHeight="false" outlineLevel="0" collapsed="false">
      <c r="A108" s="11" t="n">
        <v>107</v>
      </c>
      <c r="B108" s="15" t="n">
        <v>45704</v>
      </c>
      <c r="C108" s="11" t="n">
        <v>1</v>
      </c>
      <c r="D108" s="11" t="n">
        <v>3</v>
      </c>
      <c r="E108" s="11" t="n">
        <v>56</v>
      </c>
      <c r="F108" s="11" t="n">
        <v>9</v>
      </c>
      <c r="G108" s="11" t="n">
        <v>1</v>
      </c>
      <c r="H108" s="13" t="n">
        <v>40</v>
      </c>
      <c r="I108" s="16" t="n">
        <v>0</v>
      </c>
      <c r="J108" s="13" t="n">
        <f aca="false">G108*H108</f>
        <v>40</v>
      </c>
      <c r="K108" s="13" t="n">
        <f aca="false">J108*(1-I108)</f>
        <v>40</v>
      </c>
    </row>
    <row r="109" customFormat="false" ht="15" hidden="false" customHeight="false" outlineLevel="0" collapsed="false">
      <c r="A109" s="11" t="n">
        <v>108</v>
      </c>
      <c r="B109" s="15" t="n">
        <v>45704</v>
      </c>
      <c r="C109" s="11" t="n">
        <v>5</v>
      </c>
      <c r="D109" s="11" t="n">
        <v>10</v>
      </c>
      <c r="E109" s="11" t="n">
        <v>10</v>
      </c>
      <c r="F109" s="11" t="n">
        <v>17</v>
      </c>
      <c r="G109" s="11" t="n">
        <v>5</v>
      </c>
      <c r="H109" s="13" t="n">
        <v>28</v>
      </c>
      <c r="I109" s="16" t="n">
        <v>0.15</v>
      </c>
      <c r="J109" s="13" t="n">
        <f aca="false">G109*H109</f>
        <v>140</v>
      </c>
      <c r="K109" s="13" t="n">
        <f aca="false">J109*(1-I109)</f>
        <v>119</v>
      </c>
    </row>
    <row r="110" customFormat="false" ht="15" hidden="false" customHeight="false" outlineLevel="0" collapsed="false">
      <c r="A110" s="11" t="n">
        <v>109</v>
      </c>
      <c r="B110" s="15" t="n">
        <v>45705</v>
      </c>
      <c r="C110" s="11" t="n">
        <v>3</v>
      </c>
      <c r="D110" s="11" t="n">
        <v>7</v>
      </c>
      <c r="E110" s="11" t="n">
        <v>54</v>
      </c>
      <c r="F110" s="11" t="n">
        <v>9</v>
      </c>
      <c r="G110" s="11" t="n">
        <v>2</v>
      </c>
      <c r="H110" s="13" t="n">
        <v>40</v>
      </c>
      <c r="I110" s="16" t="n">
        <v>0</v>
      </c>
      <c r="J110" s="13" t="n">
        <f aca="false">G110*H110</f>
        <v>80</v>
      </c>
      <c r="K110" s="13" t="n">
        <f aca="false">J110*(1-I110)</f>
        <v>80</v>
      </c>
    </row>
    <row r="111" customFormat="false" ht="15" hidden="false" customHeight="false" outlineLevel="0" collapsed="false">
      <c r="A111" s="11" t="n">
        <v>110</v>
      </c>
      <c r="B111" s="15" t="n">
        <v>45705</v>
      </c>
      <c r="C111" s="11" t="n">
        <v>5</v>
      </c>
      <c r="D111" s="11" t="n">
        <v>10</v>
      </c>
      <c r="E111" s="11" t="n">
        <v>56</v>
      </c>
      <c r="F111" s="11" t="n">
        <v>18</v>
      </c>
      <c r="G111" s="11" t="n">
        <v>1</v>
      </c>
      <c r="H111" s="13" t="n">
        <v>95</v>
      </c>
      <c r="I111" s="16" t="n">
        <v>0</v>
      </c>
      <c r="J111" s="13" t="n">
        <f aca="false">G111*H111</f>
        <v>95</v>
      </c>
      <c r="K111" s="13" t="n">
        <f aca="false">J111*(1-I111)</f>
        <v>95</v>
      </c>
    </row>
    <row r="112" customFormat="false" ht="15" hidden="false" customHeight="false" outlineLevel="0" collapsed="false">
      <c r="A112" s="11" t="n">
        <v>111</v>
      </c>
      <c r="B112" s="15" t="n">
        <v>45706</v>
      </c>
      <c r="C112" s="11" t="n">
        <v>1</v>
      </c>
      <c r="D112" s="11" t="n">
        <v>1</v>
      </c>
      <c r="E112" s="11" t="n">
        <v>11</v>
      </c>
      <c r="F112" s="11" t="n">
        <v>4</v>
      </c>
      <c r="G112" s="11" t="n">
        <v>3</v>
      </c>
      <c r="H112" s="13" t="n">
        <v>55</v>
      </c>
      <c r="I112" s="16" t="n">
        <v>0.1</v>
      </c>
      <c r="J112" s="13" t="n">
        <f aca="false">G112*H112</f>
        <v>165</v>
      </c>
      <c r="K112" s="13" t="n">
        <f aca="false">J112*(1-I112)</f>
        <v>148.5</v>
      </c>
    </row>
    <row r="113" customFormat="false" ht="15" hidden="false" customHeight="false" outlineLevel="0" collapsed="false">
      <c r="A113" s="11" t="n">
        <v>112</v>
      </c>
      <c r="B113" s="15" t="n">
        <v>45707</v>
      </c>
      <c r="C113" s="11" t="n">
        <v>1</v>
      </c>
      <c r="D113" s="11" t="n">
        <v>3</v>
      </c>
      <c r="E113" s="11" t="n">
        <v>47</v>
      </c>
      <c r="F113" s="11" t="n">
        <v>2</v>
      </c>
      <c r="G113" s="11" t="n">
        <v>3</v>
      </c>
      <c r="H113" s="13" t="n">
        <v>45</v>
      </c>
      <c r="I113" s="16" t="n">
        <v>0</v>
      </c>
      <c r="J113" s="13" t="n">
        <f aca="false">G113*H113</f>
        <v>135</v>
      </c>
      <c r="K113" s="13" t="n">
        <f aca="false">J113*(1-I113)</f>
        <v>135</v>
      </c>
    </row>
    <row r="114" customFormat="false" ht="15" hidden="false" customHeight="false" outlineLevel="0" collapsed="false">
      <c r="A114" s="11" t="n">
        <v>113</v>
      </c>
      <c r="B114" s="15" t="n">
        <v>45707</v>
      </c>
      <c r="C114" s="11" t="n">
        <v>3</v>
      </c>
      <c r="D114" s="11" t="n">
        <v>7</v>
      </c>
      <c r="E114" s="11" t="n">
        <v>43</v>
      </c>
      <c r="F114" s="11" t="n">
        <v>16</v>
      </c>
      <c r="G114" s="11" t="n">
        <v>1</v>
      </c>
      <c r="H114" s="13" t="n">
        <v>45</v>
      </c>
      <c r="I114" s="16" t="n">
        <v>0</v>
      </c>
      <c r="J114" s="13" t="n">
        <f aca="false">G114*H114</f>
        <v>45</v>
      </c>
      <c r="K114" s="13" t="n">
        <f aca="false">J114*(1-I114)</f>
        <v>45</v>
      </c>
    </row>
    <row r="115" customFormat="false" ht="15" hidden="false" customHeight="false" outlineLevel="0" collapsed="false">
      <c r="A115" s="11" t="n">
        <v>114</v>
      </c>
      <c r="B115" s="15" t="n">
        <v>45709</v>
      </c>
      <c r="C115" s="11" t="n">
        <v>3</v>
      </c>
      <c r="D115" s="11" t="n">
        <v>6</v>
      </c>
      <c r="E115" s="11" t="n">
        <v>46</v>
      </c>
      <c r="F115" s="11" t="n">
        <v>6</v>
      </c>
      <c r="G115" s="11" t="n">
        <v>1</v>
      </c>
      <c r="H115" s="13" t="n">
        <v>62</v>
      </c>
      <c r="I115" s="16" t="n">
        <v>0</v>
      </c>
      <c r="J115" s="13" t="n">
        <f aca="false">G115*H115</f>
        <v>62</v>
      </c>
      <c r="K115" s="13" t="n">
        <f aca="false">J115*(1-I115)</f>
        <v>62</v>
      </c>
    </row>
    <row r="116" customFormat="false" ht="15" hidden="false" customHeight="false" outlineLevel="0" collapsed="false">
      <c r="A116" s="11" t="n">
        <v>115</v>
      </c>
      <c r="B116" s="15" t="n">
        <v>45709</v>
      </c>
      <c r="C116" s="11" t="n">
        <v>1</v>
      </c>
      <c r="D116" s="11" t="n">
        <v>3</v>
      </c>
      <c r="E116" s="11" t="n">
        <v>13</v>
      </c>
      <c r="F116" s="11" t="n">
        <v>12</v>
      </c>
      <c r="G116" s="11" t="n">
        <v>1</v>
      </c>
      <c r="H116" s="13" t="n">
        <v>45</v>
      </c>
      <c r="I116" s="16" t="n">
        <v>0.1</v>
      </c>
      <c r="J116" s="13" t="n">
        <f aca="false">G116*H116</f>
        <v>45</v>
      </c>
      <c r="K116" s="13" t="n">
        <f aca="false">J116*(1-I116)</f>
        <v>40.5</v>
      </c>
    </row>
    <row r="117" customFormat="false" ht="15" hidden="false" customHeight="false" outlineLevel="0" collapsed="false">
      <c r="A117" s="11" t="n">
        <v>116</v>
      </c>
      <c r="B117" s="15" t="n">
        <v>45709</v>
      </c>
      <c r="C117" s="11" t="n">
        <v>4</v>
      </c>
      <c r="D117" s="11" t="n">
        <v>9</v>
      </c>
      <c r="E117" s="11" t="n">
        <v>42</v>
      </c>
      <c r="F117" s="11" t="n">
        <v>7</v>
      </c>
      <c r="G117" s="11" t="n">
        <v>2</v>
      </c>
      <c r="H117" s="13" t="n">
        <v>50</v>
      </c>
      <c r="I117" s="16" t="n">
        <v>0</v>
      </c>
      <c r="J117" s="13" t="n">
        <f aca="false">G117*H117</f>
        <v>100</v>
      </c>
      <c r="K117" s="13" t="n">
        <f aca="false">J117*(1-I117)</f>
        <v>100</v>
      </c>
    </row>
    <row r="118" customFormat="false" ht="15" hidden="false" customHeight="false" outlineLevel="0" collapsed="false">
      <c r="A118" s="11" t="n">
        <v>117</v>
      </c>
      <c r="B118" s="15" t="n">
        <v>45709</v>
      </c>
      <c r="C118" s="11" t="n">
        <v>3</v>
      </c>
      <c r="D118" s="11" t="n">
        <v>7</v>
      </c>
      <c r="E118" s="11" t="n">
        <v>55</v>
      </c>
      <c r="F118" s="11" t="n">
        <v>5</v>
      </c>
      <c r="G118" s="11" t="n">
        <v>3</v>
      </c>
      <c r="H118" s="13" t="n">
        <v>58</v>
      </c>
      <c r="I118" s="16" t="n">
        <v>0</v>
      </c>
      <c r="J118" s="13" t="n">
        <f aca="false">G118*H118</f>
        <v>174</v>
      </c>
      <c r="K118" s="13" t="n">
        <f aca="false">J118*(1-I118)</f>
        <v>174</v>
      </c>
    </row>
    <row r="119" customFormat="false" ht="15" hidden="false" customHeight="false" outlineLevel="0" collapsed="false">
      <c r="A119" s="11" t="n">
        <v>118</v>
      </c>
      <c r="B119" s="15" t="n">
        <v>45709</v>
      </c>
      <c r="C119" s="11" t="n">
        <v>1</v>
      </c>
      <c r="D119" s="11" t="n">
        <v>2</v>
      </c>
      <c r="E119" s="11" t="n">
        <v>28</v>
      </c>
      <c r="F119" s="11" t="n">
        <v>1</v>
      </c>
      <c r="G119" s="11" t="n">
        <v>2</v>
      </c>
      <c r="H119" s="13" t="n">
        <v>35</v>
      </c>
      <c r="I119" s="16" t="n">
        <v>0</v>
      </c>
      <c r="J119" s="13" t="n">
        <f aca="false">G119*H119</f>
        <v>70</v>
      </c>
      <c r="K119" s="13" t="n">
        <f aca="false">J119*(1-I119)</f>
        <v>70</v>
      </c>
    </row>
    <row r="120" customFormat="false" ht="15" hidden="false" customHeight="false" outlineLevel="0" collapsed="false">
      <c r="A120" s="11" t="n">
        <v>119</v>
      </c>
      <c r="B120" s="15" t="n">
        <v>45710</v>
      </c>
      <c r="C120" s="11" t="n">
        <v>2</v>
      </c>
      <c r="D120" s="11" t="n">
        <v>5</v>
      </c>
      <c r="E120" s="11" t="n">
        <v>49</v>
      </c>
      <c r="F120" s="11" t="n">
        <v>19</v>
      </c>
      <c r="G120" s="11" t="n">
        <v>1</v>
      </c>
      <c r="H120" s="13" t="n">
        <v>125</v>
      </c>
      <c r="I120" s="16" t="n">
        <v>0</v>
      </c>
      <c r="J120" s="13" t="n">
        <f aca="false">G120*H120</f>
        <v>125</v>
      </c>
      <c r="K120" s="13" t="n">
        <f aca="false">J120*(1-I120)</f>
        <v>125</v>
      </c>
    </row>
    <row r="121" customFormat="false" ht="15" hidden="false" customHeight="false" outlineLevel="0" collapsed="false">
      <c r="A121" s="11" t="n">
        <v>120</v>
      </c>
      <c r="B121" s="15" t="n">
        <v>45710</v>
      </c>
      <c r="C121" s="11" t="n">
        <v>5</v>
      </c>
      <c r="D121" s="11" t="n">
        <v>10</v>
      </c>
      <c r="E121" s="11" t="n">
        <v>25</v>
      </c>
      <c r="F121" s="11" t="n">
        <v>10</v>
      </c>
      <c r="G121" s="11" t="n">
        <v>4</v>
      </c>
      <c r="H121" s="13" t="n">
        <v>70</v>
      </c>
      <c r="I121" s="16" t="n">
        <v>0</v>
      </c>
      <c r="J121" s="13" t="n">
        <f aca="false">G121*H121</f>
        <v>280</v>
      </c>
      <c r="K121" s="13" t="n">
        <f aca="false">J121*(1-I121)</f>
        <v>280</v>
      </c>
    </row>
    <row r="122" customFormat="false" ht="15" hidden="false" customHeight="false" outlineLevel="0" collapsed="false">
      <c r="A122" s="11" t="n">
        <v>121</v>
      </c>
      <c r="B122" s="15" t="n">
        <v>45710</v>
      </c>
      <c r="C122" s="11" t="n">
        <v>4</v>
      </c>
      <c r="D122" s="11" t="n">
        <v>9</v>
      </c>
      <c r="E122" s="11" t="n">
        <v>32</v>
      </c>
      <c r="F122" s="11" t="n">
        <v>3</v>
      </c>
      <c r="G122" s="11" t="n">
        <v>1</v>
      </c>
      <c r="H122" s="13" t="n">
        <v>38</v>
      </c>
      <c r="I122" s="16" t="n">
        <v>0</v>
      </c>
      <c r="J122" s="13" t="n">
        <f aca="false">G122*H122</f>
        <v>38</v>
      </c>
      <c r="K122" s="13" t="n">
        <f aca="false">J122*(1-I122)</f>
        <v>38</v>
      </c>
    </row>
    <row r="123" customFormat="false" ht="15" hidden="false" customHeight="false" outlineLevel="0" collapsed="false">
      <c r="A123" s="11" t="n">
        <v>122</v>
      </c>
      <c r="B123" s="15" t="n">
        <v>45711</v>
      </c>
      <c r="C123" s="11" t="n">
        <v>2</v>
      </c>
      <c r="D123" s="11" t="n">
        <v>5</v>
      </c>
      <c r="E123" s="11" t="n">
        <v>42</v>
      </c>
      <c r="F123" s="11" t="n">
        <v>10</v>
      </c>
      <c r="G123" s="11" t="n">
        <v>2</v>
      </c>
      <c r="H123" s="13" t="n">
        <v>70</v>
      </c>
      <c r="I123" s="16" t="n">
        <v>0</v>
      </c>
      <c r="J123" s="13" t="n">
        <f aca="false">G123*H123</f>
        <v>140</v>
      </c>
      <c r="K123" s="13" t="n">
        <f aca="false">J123*(1-I123)</f>
        <v>140</v>
      </c>
    </row>
    <row r="124" customFormat="false" ht="15" hidden="false" customHeight="false" outlineLevel="0" collapsed="false">
      <c r="A124" s="11" t="n">
        <v>123</v>
      </c>
      <c r="B124" s="15" t="n">
        <v>45712</v>
      </c>
      <c r="C124" s="11" t="n">
        <v>5</v>
      </c>
      <c r="D124" s="11" t="n">
        <v>10</v>
      </c>
      <c r="E124" s="11" t="n">
        <v>7</v>
      </c>
      <c r="F124" s="11" t="n">
        <v>14</v>
      </c>
      <c r="G124" s="11" t="n">
        <v>1</v>
      </c>
      <c r="H124" s="13" t="n">
        <v>38</v>
      </c>
      <c r="I124" s="16" t="n">
        <v>0</v>
      </c>
      <c r="J124" s="13" t="n">
        <f aca="false">G124*H124</f>
        <v>38</v>
      </c>
      <c r="K124" s="13" t="n">
        <f aca="false">J124*(1-I124)</f>
        <v>38</v>
      </c>
    </row>
    <row r="125" customFormat="false" ht="15" hidden="false" customHeight="false" outlineLevel="0" collapsed="false">
      <c r="A125" s="11" t="n">
        <v>124</v>
      </c>
      <c r="B125" s="15" t="n">
        <v>45712</v>
      </c>
      <c r="C125" s="11" t="n">
        <v>1</v>
      </c>
      <c r="D125" s="11" t="n">
        <v>3</v>
      </c>
      <c r="E125" s="11" t="n">
        <v>60</v>
      </c>
      <c r="F125" s="11" t="n">
        <v>5</v>
      </c>
      <c r="G125" s="11" t="n">
        <v>3</v>
      </c>
      <c r="H125" s="13" t="n">
        <v>58</v>
      </c>
      <c r="I125" s="16" t="n">
        <v>0.05</v>
      </c>
      <c r="J125" s="13" t="n">
        <f aca="false">G125*H125</f>
        <v>174</v>
      </c>
      <c r="K125" s="13" t="n">
        <f aca="false">J125*(1-I125)</f>
        <v>165.3</v>
      </c>
    </row>
    <row r="126" customFormat="false" ht="15" hidden="false" customHeight="false" outlineLevel="0" collapsed="false">
      <c r="A126" s="11" t="n">
        <v>125</v>
      </c>
      <c r="B126" s="15" t="n">
        <v>45713</v>
      </c>
      <c r="C126" s="11" t="n">
        <v>3</v>
      </c>
      <c r="D126" s="11" t="n">
        <v>7</v>
      </c>
      <c r="E126" s="11" t="n">
        <v>40</v>
      </c>
      <c r="F126" s="11" t="n">
        <v>5</v>
      </c>
      <c r="G126" s="11" t="n">
        <v>4</v>
      </c>
      <c r="H126" s="13" t="n">
        <v>58</v>
      </c>
      <c r="I126" s="16" t="n">
        <v>0</v>
      </c>
      <c r="J126" s="13" t="n">
        <f aca="false">G126*H126</f>
        <v>232</v>
      </c>
      <c r="K126" s="13" t="n">
        <f aca="false">J126*(1-I126)</f>
        <v>232</v>
      </c>
    </row>
    <row r="127" customFormat="false" ht="15" hidden="false" customHeight="false" outlineLevel="0" collapsed="false">
      <c r="A127" s="11" t="n">
        <v>126</v>
      </c>
      <c r="B127" s="15" t="n">
        <v>45713</v>
      </c>
      <c r="C127" s="11" t="n">
        <v>2</v>
      </c>
      <c r="D127" s="11" t="n">
        <v>4</v>
      </c>
      <c r="E127" s="11" t="n">
        <v>51</v>
      </c>
      <c r="F127" s="11" t="n">
        <v>19</v>
      </c>
      <c r="G127" s="11" t="n">
        <v>2</v>
      </c>
      <c r="H127" s="13" t="n">
        <v>125</v>
      </c>
      <c r="I127" s="16" t="n">
        <v>0</v>
      </c>
      <c r="J127" s="13" t="n">
        <f aca="false">G127*H127</f>
        <v>250</v>
      </c>
      <c r="K127" s="13" t="n">
        <f aca="false">J127*(1-I127)</f>
        <v>250</v>
      </c>
    </row>
    <row r="128" customFormat="false" ht="15" hidden="false" customHeight="false" outlineLevel="0" collapsed="false">
      <c r="A128" s="11" t="n">
        <v>127</v>
      </c>
      <c r="B128" s="15" t="n">
        <v>45713</v>
      </c>
      <c r="C128" s="11" t="n">
        <v>1</v>
      </c>
      <c r="D128" s="11" t="n">
        <v>1</v>
      </c>
      <c r="E128" s="11" t="n">
        <v>17</v>
      </c>
      <c r="F128" s="11" t="n">
        <v>3</v>
      </c>
      <c r="G128" s="11" t="n">
        <v>1</v>
      </c>
      <c r="H128" s="13" t="n">
        <v>38</v>
      </c>
      <c r="I128" s="16" t="n">
        <v>0</v>
      </c>
      <c r="J128" s="13" t="n">
        <f aca="false">G128*H128</f>
        <v>38</v>
      </c>
      <c r="K128" s="13" t="n">
        <f aca="false">J128*(1-I128)</f>
        <v>38</v>
      </c>
    </row>
    <row r="129" customFormat="false" ht="15" hidden="false" customHeight="false" outlineLevel="0" collapsed="false">
      <c r="A129" s="11" t="n">
        <v>128</v>
      </c>
      <c r="B129" s="15" t="n">
        <v>45713</v>
      </c>
      <c r="C129" s="11" t="n">
        <v>3</v>
      </c>
      <c r="D129" s="11" t="n">
        <v>6</v>
      </c>
      <c r="E129" s="11" t="n">
        <v>41</v>
      </c>
      <c r="F129" s="11" t="n">
        <v>3</v>
      </c>
      <c r="G129" s="11" t="n">
        <v>1</v>
      </c>
      <c r="H129" s="13" t="n">
        <v>38</v>
      </c>
      <c r="I129" s="16" t="n">
        <v>0</v>
      </c>
      <c r="J129" s="13" t="n">
        <f aca="false">G129*H129</f>
        <v>38</v>
      </c>
      <c r="K129" s="13" t="n">
        <f aca="false">J129*(1-I129)</f>
        <v>38</v>
      </c>
    </row>
    <row r="130" customFormat="false" ht="15" hidden="false" customHeight="false" outlineLevel="0" collapsed="false">
      <c r="A130" s="11" t="n">
        <v>129</v>
      </c>
      <c r="B130" s="15" t="n">
        <v>45713</v>
      </c>
      <c r="C130" s="11" t="n">
        <v>5</v>
      </c>
      <c r="D130" s="11" t="n">
        <v>10</v>
      </c>
      <c r="E130" s="11" t="n">
        <v>18</v>
      </c>
      <c r="F130" s="11" t="n">
        <v>13</v>
      </c>
      <c r="G130" s="11" t="n">
        <v>1</v>
      </c>
      <c r="H130" s="13" t="n">
        <v>32</v>
      </c>
      <c r="I130" s="16" t="n">
        <v>0</v>
      </c>
      <c r="J130" s="13" t="n">
        <f aca="false">G130*H130</f>
        <v>32</v>
      </c>
      <c r="K130" s="13" t="n">
        <f aca="false">J130*(1-I130)</f>
        <v>32</v>
      </c>
    </row>
    <row r="131" customFormat="false" ht="15" hidden="false" customHeight="false" outlineLevel="0" collapsed="false">
      <c r="A131" s="11" t="n">
        <v>130</v>
      </c>
      <c r="B131" s="15" t="n">
        <v>45713</v>
      </c>
      <c r="C131" s="11" t="n">
        <v>3</v>
      </c>
      <c r="D131" s="11" t="n">
        <v>7</v>
      </c>
      <c r="E131" s="11" t="n">
        <v>46</v>
      </c>
      <c r="F131" s="11" t="n">
        <v>12</v>
      </c>
      <c r="G131" s="11" t="n">
        <v>1</v>
      </c>
      <c r="H131" s="13" t="n">
        <v>45</v>
      </c>
      <c r="I131" s="16" t="n">
        <v>0</v>
      </c>
      <c r="J131" s="13" t="n">
        <f aca="false">G131*H131</f>
        <v>45</v>
      </c>
      <c r="K131" s="13" t="n">
        <f aca="false">J131*(1-I131)</f>
        <v>45</v>
      </c>
    </row>
    <row r="132" customFormat="false" ht="15" hidden="false" customHeight="false" outlineLevel="0" collapsed="false">
      <c r="A132" s="11" t="n">
        <v>131</v>
      </c>
      <c r="B132" s="15" t="n">
        <v>45714</v>
      </c>
      <c r="C132" s="11" t="n">
        <v>4</v>
      </c>
      <c r="D132" s="11" t="n">
        <v>8</v>
      </c>
      <c r="E132" s="11" t="n">
        <v>14</v>
      </c>
      <c r="F132" s="11" t="n">
        <v>11</v>
      </c>
      <c r="G132" s="11" t="n">
        <v>1</v>
      </c>
      <c r="H132" s="13" t="n">
        <v>72</v>
      </c>
      <c r="I132" s="16" t="n">
        <v>0</v>
      </c>
      <c r="J132" s="13" t="n">
        <f aca="false">G132*H132</f>
        <v>72</v>
      </c>
      <c r="K132" s="13" t="n">
        <f aca="false">J132*(1-I132)</f>
        <v>72</v>
      </c>
    </row>
    <row r="133" customFormat="false" ht="15" hidden="false" customHeight="false" outlineLevel="0" collapsed="false">
      <c r="A133" s="11" t="n">
        <v>132</v>
      </c>
      <c r="B133" s="15" t="n">
        <v>45714</v>
      </c>
      <c r="C133" s="11" t="n">
        <v>1</v>
      </c>
      <c r="D133" s="11" t="n">
        <v>2</v>
      </c>
      <c r="E133" s="11" t="n">
        <v>33</v>
      </c>
      <c r="F133" s="11" t="n">
        <v>11</v>
      </c>
      <c r="G133" s="11" t="n">
        <v>2</v>
      </c>
      <c r="H133" s="13" t="n">
        <v>72</v>
      </c>
      <c r="I133" s="16" t="n">
        <v>0</v>
      </c>
      <c r="J133" s="13" t="n">
        <f aca="false">G133*H133</f>
        <v>144</v>
      </c>
      <c r="K133" s="13" t="n">
        <f aca="false">J133*(1-I133)</f>
        <v>144</v>
      </c>
    </row>
    <row r="134" customFormat="false" ht="15" hidden="false" customHeight="false" outlineLevel="0" collapsed="false">
      <c r="A134" s="11" t="n">
        <v>133</v>
      </c>
      <c r="B134" s="15" t="n">
        <v>45714</v>
      </c>
      <c r="C134" s="11" t="n">
        <v>4</v>
      </c>
      <c r="D134" s="11" t="n">
        <v>8</v>
      </c>
      <c r="E134" s="11" t="n">
        <v>31</v>
      </c>
      <c r="F134" s="11" t="n">
        <v>4</v>
      </c>
      <c r="G134" s="11" t="n">
        <v>3</v>
      </c>
      <c r="H134" s="13" t="n">
        <v>55</v>
      </c>
      <c r="I134" s="16" t="n">
        <v>0</v>
      </c>
      <c r="J134" s="13" t="n">
        <f aca="false">G134*H134</f>
        <v>165</v>
      </c>
      <c r="K134" s="13" t="n">
        <f aca="false">J134*(1-I134)</f>
        <v>165</v>
      </c>
    </row>
    <row r="135" customFormat="false" ht="15" hidden="false" customHeight="false" outlineLevel="0" collapsed="false">
      <c r="A135" s="11" t="n">
        <v>134</v>
      </c>
      <c r="B135" s="15" t="n">
        <v>45714</v>
      </c>
      <c r="C135" s="11" t="n">
        <v>5</v>
      </c>
      <c r="D135" s="11" t="n">
        <v>10</v>
      </c>
      <c r="E135" s="11" t="n">
        <v>25</v>
      </c>
      <c r="F135" s="11" t="n">
        <v>14</v>
      </c>
      <c r="G135" s="11" t="n">
        <v>2</v>
      </c>
      <c r="H135" s="13" t="n">
        <v>38</v>
      </c>
      <c r="I135" s="16" t="n">
        <v>0</v>
      </c>
      <c r="J135" s="13" t="n">
        <f aca="false">G135*H135</f>
        <v>76</v>
      </c>
      <c r="K135" s="13" t="n">
        <f aca="false">J135*(1-I135)</f>
        <v>76</v>
      </c>
    </row>
    <row r="136" customFormat="false" ht="15" hidden="false" customHeight="false" outlineLevel="0" collapsed="false">
      <c r="A136" s="11" t="n">
        <v>135</v>
      </c>
      <c r="B136" s="15" t="n">
        <v>45715</v>
      </c>
      <c r="C136" s="11" t="n">
        <v>1</v>
      </c>
      <c r="D136" s="11" t="n">
        <v>2</v>
      </c>
      <c r="E136" s="11" t="n">
        <v>7</v>
      </c>
      <c r="F136" s="11" t="n">
        <v>19</v>
      </c>
      <c r="G136" s="11" t="n">
        <v>1</v>
      </c>
      <c r="H136" s="13" t="n">
        <v>125</v>
      </c>
      <c r="I136" s="16" t="n">
        <v>0</v>
      </c>
      <c r="J136" s="13" t="n">
        <f aca="false">G136*H136</f>
        <v>125</v>
      </c>
      <c r="K136" s="13" t="n">
        <f aca="false">J136*(1-I136)</f>
        <v>125</v>
      </c>
    </row>
    <row r="137" customFormat="false" ht="15" hidden="false" customHeight="false" outlineLevel="0" collapsed="false">
      <c r="A137" s="11" t="n">
        <v>136</v>
      </c>
      <c r="B137" s="15" t="n">
        <v>45715</v>
      </c>
      <c r="C137" s="11" t="n">
        <v>4</v>
      </c>
      <c r="D137" s="11" t="n">
        <v>8</v>
      </c>
      <c r="E137" s="11" t="n">
        <v>20</v>
      </c>
      <c r="F137" s="11" t="n">
        <v>2</v>
      </c>
      <c r="G137" s="11" t="n">
        <v>1</v>
      </c>
      <c r="H137" s="13" t="n">
        <v>45</v>
      </c>
      <c r="I137" s="16" t="n">
        <v>0</v>
      </c>
      <c r="J137" s="13" t="n">
        <f aca="false">G137*H137</f>
        <v>45</v>
      </c>
      <c r="K137" s="13" t="n">
        <f aca="false">J137*(1-I137)</f>
        <v>45</v>
      </c>
    </row>
    <row r="138" customFormat="false" ht="15" hidden="false" customHeight="false" outlineLevel="0" collapsed="false">
      <c r="A138" s="11" t="n">
        <v>137</v>
      </c>
      <c r="B138" s="15" t="n">
        <v>45715</v>
      </c>
      <c r="C138" s="11" t="n">
        <v>3</v>
      </c>
      <c r="D138" s="11" t="n">
        <v>7</v>
      </c>
      <c r="E138" s="11" t="n">
        <v>21</v>
      </c>
      <c r="F138" s="11" t="n">
        <v>16</v>
      </c>
      <c r="G138" s="11" t="n">
        <v>2</v>
      </c>
      <c r="H138" s="13" t="n">
        <v>45</v>
      </c>
      <c r="I138" s="16" t="n">
        <v>0</v>
      </c>
      <c r="J138" s="13" t="n">
        <f aca="false">G138*H138</f>
        <v>90</v>
      </c>
      <c r="K138" s="13" t="n">
        <f aca="false">J138*(1-I138)</f>
        <v>90</v>
      </c>
    </row>
    <row r="139" customFormat="false" ht="15" hidden="false" customHeight="false" outlineLevel="0" collapsed="false">
      <c r="A139" s="11" t="n">
        <v>138</v>
      </c>
      <c r="B139" s="15" t="n">
        <v>45715</v>
      </c>
      <c r="C139" s="11" t="n">
        <v>2</v>
      </c>
      <c r="D139" s="11" t="n">
        <v>5</v>
      </c>
      <c r="E139" s="11" t="n">
        <v>28</v>
      </c>
      <c r="F139" s="11" t="n">
        <v>7</v>
      </c>
      <c r="G139" s="11" t="n">
        <v>1</v>
      </c>
      <c r="H139" s="13" t="n">
        <v>50</v>
      </c>
      <c r="I139" s="16" t="n">
        <v>0</v>
      </c>
      <c r="J139" s="13" t="n">
        <f aca="false">G139*H139</f>
        <v>50</v>
      </c>
      <c r="K139" s="13" t="n">
        <f aca="false">J139*(1-I139)</f>
        <v>50</v>
      </c>
    </row>
    <row r="140" customFormat="false" ht="15" hidden="false" customHeight="false" outlineLevel="0" collapsed="false">
      <c r="A140" s="11" t="n">
        <v>139</v>
      </c>
      <c r="B140" s="15" t="n">
        <v>45716</v>
      </c>
      <c r="C140" s="11" t="n">
        <v>4</v>
      </c>
      <c r="D140" s="11" t="n">
        <v>9</v>
      </c>
      <c r="E140" s="11" t="n">
        <v>2</v>
      </c>
      <c r="F140" s="11" t="n">
        <v>15</v>
      </c>
      <c r="G140" s="11" t="n">
        <v>4</v>
      </c>
      <c r="H140" s="13" t="n">
        <v>65</v>
      </c>
      <c r="I140" s="16" t="n">
        <v>0.05</v>
      </c>
      <c r="J140" s="13" t="n">
        <f aca="false">G140*H140</f>
        <v>260</v>
      </c>
      <c r="K140" s="13" t="n">
        <f aca="false">J140*(1-I140)</f>
        <v>247</v>
      </c>
    </row>
    <row r="141" customFormat="false" ht="15" hidden="false" customHeight="false" outlineLevel="0" collapsed="false">
      <c r="A141" s="11" t="n">
        <v>140</v>
      </c>
      <c r="B141" s="15" t="n">
        <v>45716</v>
      </c>
      <c r="C141" s="11" t="n">
        <v>3</v>
      </c>
      <c r="D141" s="11" t="n">
        <v>7</v>
      </c>
      <c r="E141" s="11" t="n">
        <v>50</v>
      </c>
      <c r="F141" s="11" t="n">
        <v>6</v>
      </c>
      <c r="G141" s="11" t="n">
        <v>1</v>
      </c>
      <c r="H141" s="13" t="n">
        <v>62</v>
      </c>
      <c r="I141" s="16" t="n">
        <v>0</v>
      </c>
      <c r="J141" s="13" t="n">
        <f aca="false">G141*H141</f>
        <v>62</v>
      </c>
      <c r="K141" s="13" t="n">
        <f aca="false">J141*(1-I141)</f>
        <v>62</v>
      </c>
    </row>
    <row r="142" customFormat="false" ht="15" hidden="false" customHeight="false" outlineLevel="0" collapsed="false">
      <c r="A142" s="11" t="n">
        <v>141</v>
      </c>
      <c r="B142" s="15" t="n">
        <v>45716</v>
      </c>
      <c r="C142" s="11" t="n">
        <v>1</v>
      </c>
      <c r="D142" s="11" t="n">
        <v>1</v>
      </c>
      <c r="E142" s="11" t="n">
        <v>20</v>
      </c>
      <c r="F142" s="11" t="n">
        <v>14</v>
      </c>
      <c r="G142" s="11" t="n">
        <v>3</v>
      </c>
      <c r="H142" s="13" t="n">
        <v>38</v>
      </c>
      <c r="I142" s="16" t="n">
        <v>0</v>
      </c>
      <c r="J142" s="13" t="n">
        <f aca="false">G142*H142</f>
        <v>114</v>
      </c>
      <c r="K142" s="13" t="n">
        <f aca="false">J142*(1-I142)</f>
        <v>114</v>
      </c>
    </row>
    <row r="143" customFormat="false" ht="15" hidden="false" customHeight="false" outlineLevel="0" collapsed="false">
      <c r="A143" s="11" t="n">
        <v>142</v>
      </c>
      <c r="B143" s="15" t="n">
        <v>45717</v>
      </c>
      <c r="C143" s="11" t="n">
        <v>3</v>
      </c>
      <c r="D143" s="11" t="n">
        <v>7</v>
      </c>
      <c r="E143" s="11" t="n">
        <v>45</v>
      </c>
      <c r="F143" s="11" t="n">
        <v>12</v>
      </c>
      <c r="G143" s="11" t="n">
        <v>1</v>
      </c>
      <c r="H143" s="13" t="n">
        <v>45</v>
      </c>
      <c r="I143" s="16" t="n">
        <v>0</v>
      </c>
      <c r="J143" s="13" t="n">
        <f aca="false">G143*H143</f>
        <v>45</v>
      </c>
      <c r="K143" s="13" t="n">
        <f aca="false">J143*(1-I143)</f>
        <v>45</v>
      </c>
    </row>
    <row r="144" customFormat="false" ht="15" hidden="false" customHeight="false" outlineLevel="0" collapsed="false">
      <c r="A144" s="11" t="n">
        <v>143</v>
      </c>
      <c r="B144" s="15" t="n">
        <v>45718</v>
      </c>
      <c r="C144" s="11" t="n">
        <v>1</v>
      </c>
      <c r="D144" s="11" t="n">
        <v>2</v>
      </c>
      <c r="E144" s="11" t="n">
        <v>8</v>
      </c>
      <c r="F144" s="11" t="n">
        <v>3</v>
      </c>
      <c r="G144" s="11" t="n">
        <v>1</v>
      </c>
      <c r="H144" s="13" t="n">
        <v>38</v>
      </c>
      <c r="I144" s="16" t="n">
        <v>0</v>
      </c>
      <c r="J144" s="13" t="n">
        <f aca="false">G144*H144</f>
        <v>38</v>
      </c>
      <c r="K144" s="13" t="n">
        <f aca="false">J144*(1-I144)</f>
        <v>38</v>
      </c>
    </row>
    <row r="145" customFormat="false" ht="15" hidden="false" customHeight="false" outlineLevel="0" collapsed="false">
      <c r="A145" s="11" t="n">
        <v>144</v>
      </c>
      <c r="B145" s="15" t="n">
        <v>45718</v>
      </c>
      <c r="C145" s="11" t="n">
        <v>1</v>
      </c>
      <c r="D145" s="11" t="n">
        <v>3</v>
      </c>
      <c r="E145" s="11" t="n">
        <v>38</v>
      </c>
      <c r="F145" s="11" t="n">
        <v>8</v>
      </c>
      <c r="G145" s="11" t="n">
        <v>1</v>
      </c>
      <c r="H145" s="13" t="n">
        <v>52</v>
      </c>
      <c r="I145" s="16" t="n">
        <v>0</v>
      </c>
      <c r="J145" s="13" t="n">
        <f aca="false">G145*H145</f>
        <v>52</v>
      </c>
      <c r="K145" s="13" t="n">
        <f aca="false">J145*(1-I145)</f>
        <v>52</v>
      </c>
    </row>
    <row r="146" customFormat="false" ht="15" hidden="false" customHeight="false" outlineLevel="0" collapsed="false">
      <c r="A146" s="11" t="n">
        <v>145</v>
      </c>
      <c r="B146" s="15" t="n">
        <v>45719</v>
      </c>
      <c r="C146" s="11" t="n">
        <v>4</v>
      </c>
      <c r="D146" s="11" t="n">
        <v>9</v>
      </c>
      <c r="E146" s="11" t="n">
        <v>29</v>
      </c>
      <c r="F146" s="11" t="n">
        <v>17</v>
      </c>
      <c r="G146" s="11" t="n">
        <v>1</v>
      </c>
      <c r="H146" s="13" t="n">
        <v>28</v>
      </c>
      <c r="I146" s="16" t="n">
        <v>0</v>
      </c>
      <c r="J146" s="13" t="n">
        <f aca="false">G146*H146</f>
        <v>28</v>
      </c>
      <c r="K146" s="13" t="n">
        <f aca="false">J146*(1-I146)</f>
        <v>28</v>
      </c>
    </row>
    <row r="147" customFormat="false" ht="15" hidden="false" customHeight="false" outlineLevel="0" collapsed="false">
      <c r="A147" s="11" t="n">
        <v>146</v>
      </c>
      <c r="B147" s="15" t="n">
        <v>45719</v>
      </c>
      <c r="C147" s="11" t="n">
        <v>3</v>
      </c>
      <c r="D147" s="11" t="n">
        <v>6</v>
      </c>
      <c r="E147" s="11" t="n">
        <v>36</v>
      </c>
      <c r="F147" s="11" t="n">
        <v>13</v>
      </c>
      <c r="G147" s="11" t="n">
        <v>1</v>
      </c>
      <c r="H147" s="13" t="n">
        <v>32</v>
      </c>
      <c r="I147" s="16" t="n">
        <v>0</v>
      </c>
      <c r="J147" s="13" t="n">
        <f aca="false">G147*H147</f>
        <v>32</v>
      </c>
      <c r="K147" s="13" t="n">
        <f aca="false">J147*(1-I147)</f>
        <v>32</v>
      </c>
    </row>
    <row r="148" customFormat="false" ht="15" hidden="false" customHeight="false" outlineLevel="0" collapsed="false">
      <c r="A148" s="11" t="n">
        <v>147</v>
      </c>
      <c r="B148" s="15" t="n">
        <v>45719</v>
      </c>
      <c r="C148" s="11" t="n">
        <v>3</v>
      </c>
      <c r="D148" s="11" t="n">
        <v>6</v>
      </c>
      <c r="E148" s="11" t="n">
        <v>12</v>
      </c>
      <c r="F148" s="11" t="n">
        <v>11</v>
      </c>
      <c r="G148" s="11" t="n">
        <v>3</v>
      </c>
      <c r="H148" s="13" t="n">
        <v>72</v>
      </c>
      <c r="I148" s="16" t="n">
        <v>0</v>
      </c>
      <c r="J148" s="13" t="n">
        <f aca="false">G148*H148</f>
        <v>216</v>
      </c>
      <c r="K148" s="13" t="n">
        <f aca="false">J148*(1-I148)</f>
        <v>216</v>
      </c>
    </row>
    <row r="149" customFormat="false" ht="15" hidden="false" customHeight="false" outlineLevel="0" collapsed="false">
      <c r="A149" s="11" t="n">
        <v>148</v>
      </c>
      <c r="B149" s="15" t="n">
        <v>45719</v>
      </c>
      <c r="C149" s="11" t="n">
        <v>4</v>
      </c>
      <c r="D149" s="11" t="n">
        <v>8</v>
      </c>
      <c r="E149" s="11" t="n">
        <v>34</v>
      </c>
      <c r="F149" s="11" t="n">
        <v>11</v>
      </c>
      <c r="G149" s="11" t="n">
        <v>3</v>
      </c>
      <c r="H149" s="13" t="n">
        <v>72</v>
      </c>
      <c r="I149" s="16" t="n">
        <v>0.05</v>
      </c>
      <c r="J149" s="13" t="n">
        <f aca="false">G149*H149</f>
        <v>216</v>
      </c>
      <c r="K149" s="13" t="n">
        <f aca="false">J149*(1-I149)</f>
        <v>205.2</v>
      </c>
    </row>
    <row r="150" customFormat="false" ht="15" hidden="false" customHeight="false" outlineLevel="0" collapsed="false">
      <c r="A150" s="11" t="n">
        <v>149</v>
      </c>
      <c r="B150" s="15" t="n">
        <v>45719</v>
      </c>
      <c r="C150" s="11" t="n">
        <v>2</v>
      </c>
      <c r="D150" s="11" t="n">
        <v>4</v>
      </c>
      <c r="E150" s="11" t="n">
        <v>31</v>
      </c>
      <c r="F150" s="11" t="n">
        <v>16</v>
      </c>
      <c r="G150" s="11" t="n">
        <v>2</v>
      </c>
      <c r="H150" s="13" t="n">
        <v>45</v>
      </c>
      <c r="I150" s="16" t="n">
        <v>0</v>
      </c>
      <c r="J150" s="13" t="n">
        <f aca="false">G150*H150</f>
        <v>90</v>
      </c>
      <c r="K150" s="13" t="n">
        <f aca="false">J150*(1-I150)</f>
        <v>90</v>
      </c>
    </row>
    <row r="151" customFormat="false" ht="15" hidden="false" customHeight="false" outlineLevel="0" collapsed="false">
      <c r="A151" s="11" t="n">
        <v>150</v>
      </c>
      <c r="B151" s="15" t="n">
        <v>45720</v>
      </c>
      <c r="C151" s="11" t="n">
        <v>2</v>
      </c>
      <c r="D151" s="11" t="n">
        <v>5</v>
      </c>
      <c r="E151" s="11" t="n">
        <v>42</v>
      </c>
      <c r="F151" s="11" t="n">
        <v>9</v>
      </c>
      <c r="G151" s="11" t="n">
        <v>2</v>
      </c>
      <c r="H151" s="13" t="n">
        <v>40</v>
      </c>
      <c r="I151" s="16" t="n">
        <v>0</v>
      </c>
      <c r="J151" s="13" t="n">
        <f aca="false">G151*H151</f>
        <v>80</v>
      </c>
      <c r="K151" s="13" t="n">
        <f aca="false">J151*(1-I151)</f>
        <v>80</v>
      </c>
    </row>
    <row r="152" customFormat="false" ht="15" hidden="false" customHeight="false" outlineLevel="0" collapsed="false">
      <c r="A152" s="11" t="n">
        <v>151</v>
      </c>
      <c r="B152" s="15" t="n">
        <v>45720</v>
      </c>
      <c r="C152" s="11" t="n">
        <v>4</v>
      </c>
      <c r="D152" s="11" t="n">
        <v>9</v>
      </c>
      <c r="E152" s="11" t="n">
        <v>5</v>
      </c>
      <c r="F152" s="11" t="n">
        <v>12</v>
      </c>
      <c r="G152" s="11" t="n">
        <v>2</v>
      </c>
      <c r="H152" s="13" t="n">
        <v>45</v>
      </c>
      <c r="I152" s="16" t="n">
        <v>0</v>
      </c>
      <c r="J152" s="13" t="n">
        <f aca="false">G152*H152</f>
        <v>90</v>
      </c>
      <c r="K152" s="13" t="n">
        <f aca="false">J152*(1-I152)</f>
        <v>90</v>
      </c>
    </row>
    <row r="153" customFormat="false" ht="15" hidden="false" customHeight="false" outlineLevel="0" collapsed="false">
      <c r="A153" s="11" t="n">
        <v>152</v>
      </c>
      <c r="B153" s="15" t="n">
        <v>45720</v>
      </c>
      <c r="C153" s="11" t="n">
        <v>3</v>
      </c>
      <c r="D153" s="11" t="n">
        <v>7</v>
      </c>
      <c r="E153" s="11" t="n">
        <v>47</v>
      </c>
      <c r="F153" s="11" t="n">
        <v>18</v>
      </c>
      <c r="G153" s="11" t="n">
        <v>2</v>
      </c>
      <c r="H153" s="13" t="n">
        <v>95</v>
      </c>
      <c r="I153" s="16" t="n">
        <v>0</v>
      </c>
      <c r="J153" s="13" t="n">
        <f aca="false">G153*H153</f>
        <v>190</v>
      </c>
      <c r="K153" s="13" t="n">
        <f aca="false">J153*(1-I153)</f>
        <v>190</v>
      </c>
    </row>
    <row r="154" customFormat="false" ht="15" hidden="false" customHeight="false" outlineLevel="0" collapsed="false">
      <c r="A154" s="11" t="n">
        <v>153</v>
      </c>
      <c r="B154" s="15" t="n">
        <v>45720</v>
      </c>
      <c r="C154" s="11" t="n">
        <v>1</v>
      </c>
      <c r="D154" s="11" t="n">
        <v>3</v>
      </c>
      <c r="E154" s="11" t="n">
        <v>5</v>
      </c>
      <c r="F154" s="11" t="n">
        <v>19</v>
      </c>
      <c r="G154" s="11" t="n">
        <v>2</v>
      </c>
      <c r="H154" s="13" t="n">
        <v>125</v>
      </c>
      <c r="I154" s="16" t="n">
        <v>0</v>
      </c>
      <c r="J154" s="13" t="n">
        <f aca="false">G154*H154</f>
        <v>250</v>
      </c>
      <c r="K154" s="13" t="n">
        <f aca="false">J154*(1-I154)</f>
        <v>250</v>
      </c>
    </row>
    <row r="155" customFormat="false" ht="15" hidden="false" customHeight="false" outlineLevel="0" collapsed="false">
      <c r="A155" s="11" t="n">
        <v>154</v>
      </c>
      <c r="B155" s="15" t="n">
        <v>45721</v>
      </c>
      <c r="C155" s="11" t="n">
        <v>1</v>
      </c>
      <c r="D155" s="11" t="n">
        <v>2</v>
      </c>
      <c r="E155" s="11" t="n">
        <v>54</v>
      </c>
      <c r="F155" s="11" t="n">
        <v>12</v>
      </c>
      <c r="G155" s="11" t="n">
        <v>3</v>
      </c>
      <c r="H155" s="13" t="n">
        <v>45</v>
      </c>
      <c r="I155" s="16" t="n">
        <v>0</v>
      </c>
      <c r="J155" s="13" t="n">
        <f aca="false">G155*H155</f>
        <v>135</v>
      </c>
      <c r="K155" s="13" t="n">
        <f aca="false">J155*(1-I155)</f>
        <v>135</v>
      </c>
    </row>
    <row r="156" customFormat="false" ht="15" hidden="false" customHeight="false" outlineLevel="0" collapsed="false">
      <c r="A156" s="11" t="n">
        <v>155</v>
      </c>
      <c r="B156" s="15" t="n">
        <v>45722</v>
      </c>
      <c r="C156" s="11" t="n">
        <v>4</v>
      </c>
      <c r="D156" s="11" t="n">
        <v>8</v>
      </c>
      <c r="E156" s="11" t="n">
        <v>55</v>
      </c>
      <c r="F156" s="11" t="n">
        <v>18</v>
      </c>
      <c r="G156" s="11" t="n">
        <v>1</v>
      </c>
      <c r="H156" s="13" t="n">
        <v>95</v>
      </c>
      <c r="I156" s="16" t="n">
        <v>0</v>
      </c>
      <c r="J156" s="13" t="n">
        <f aca="false">G156*H156</f>
        <v>95</v>
      </c>
      <c r="K156" s="13" t="n">
        <f aca="false">J156*(1-I156)</f>
        <v>95</v>
      </c>
    </row>
    <row r="157" customFormat="false" ht="15" hidden="false" customHeight="false" outlineLevel="0" collapsed="false">
      <c r="A157" s="11" t="n">
        <v>156</v>
      </c>
      <c r="B157" s="15" t="n">
        <v>45722</v>
      </c>
      <c r="C157" s="11" t="n">
        <v>3</v>
      </c>
      <c r="D157" s="11" t="n">
        <v>7</v>
      </c>
      <c r="E157" s="11" t="n">
        <v>27</v>
      </c>
      <c r="F157" s="11" t="n">
        <v>20</v>
      </c>
      <c r="G157" s="11" t="n">
        <v>2</v>
      </c>
      <c r="H157" s="13" t="n">
        <v>88</v>
      </c>
      <c r="I157" s="16" t="n">
        <v>0.05</v>
      </c>
      <c r="J157" s="13" t="n">
        <f aca="false">G157*H157</f>
        <v>176</v>
      </c>
      <c r="K157" s="13" t="n">
        <f aca="false">J157*(1-I157)</f>
        <v>167.2</v>
      </c>
    </row>
    <row r="158" customFormat="false" ht="15" hidden="false" customHeight="false" outlineLevel="0" collapsed="false">
      <c r="A158" s="11" t="n">
        <v>157</v>
      </c>
      <c r="B158" s="15" t="n">
        <v>45722</v>
      </c>
      <c r="C158" s="11" t="n">
        <v>4</v>
      </c>
      <c r="D158" s="11" t="n">
        <v>9</v>
      </c>
      <c r="E158" s="11" t="n">
        <v>36</v>
      </c>
      <c r="F158" s="11" t="n">
        <v>16</v>
      </c>
      <c r="G158" s="11" t="n">
        <v>1</v>
      </c>
      <c r="H158" s="13" t="n">
        <v>45</v>
      </c>
      <c r="I158" s="16" t="n">
        <v>0.05</v>
      </c>
      <c r="J158" s="13" t="n">
        <f aca="false">G158*H158</f>
        <v>45</v>
      </c>
      <c r="K158" s="13" t="n">
        <f aca="false">J158*(1-I158)</f>
        <v>42.75</v>
      </c>
    </row>
    <row r="159" customFormat="false" ht="15" hidden="false" customHeight="false" outlineLevel="0" collapsed="false">
      <c r="A159" s="11" t="n">
        <v>158</v>
      </c>
      <c r="B159" s="15" t="n">
        <v>45723</v>
      </c>
      <c r="C159" s="11" t="n">
        <v>3</v>
      </c>
      <c r="D159" s="11" t="n">
        <v>6</v>
      </c>
      <c r="E159" s="11" t="n">
        <v>19</v>
      </c>
      <c r="F159" s="11" t="n">
        <v>14</v>
      </c>
      <c r="G159" s="11" t="n">
        <v>4</v>
      </c>
      <c r="H159" s="13" t="n">
        <v>38</v>
      </c>
      <c r="I159" s="16" t="n">
        <v>0</v>
      </c>
      <c r="J159" s="13" t="n">
        <f aca="false">G159*H159</f>
        <v>152</v>
      </c>
      <c r="K159" s="13" t="n">
        <f aca="false">J159*(1-I159)</f>
        <v>152</v>
      </c>
    </row>
    <row r="160" customFormat="false" ht="15" hidden="false" customHeight="false" outlineLevel="0" collapsed="false">
      <c r="A160" s="11" t="n">
        <v>159</v>
      </c>
      <c r="B160" s="15" t="n">
        <v>45723</v>
      </c>
      <c r="C160" s="11" t="n">
        <v>1</v>
      </c>
      <c r="D160" s="11" t="n">
        <v>1</v>
      </c>
      <c r="E160" s="11" t="n">
        <v>54</v>
      </c>
      <c r="F160" s="11" t="n">
        <v>7</v>
      </c>
      <c r="G160" s="11" t="n">
        <v>2</v>
      </c>
      <c r="H160" s="13" t="n">
        <v>50</v>
      </c>
      <c r="I160" s="16" t="n">
        <v>0</v>
      </c>
      <c r="J160" s="13" t="n">
        <f aca="false">G160*H160</f>
        <v>100</v>
      </c>
      <c r="K160" s="13" t="n">
        <f aca="false">J160*(1-I160)</f>
        <v>100</v>
      </c>
    </row>
    <row r="161" customFormat="false" ht="15" hidden="false" customHeight="false" outlineLevel="0" collapsed="false">
      <c r="A161" s="11" t="n">
        <v>160</v>
      </c>
      <c r="B161" s="15" t="n">
        <v>45723</v>
      </c>
      <c r="C161" s="11" t="n">
        <v>1</v>
      </c>
      <c r="D161" s="11" t="n">
        <v>1</v>
      </c>
      <c r="E161" s="11" t="n">
        <v>39</v>
      </c>
      <c r="F161" s="11" t="n">
        <v>8</v>
      </c>
      <c r="G161" s="11" t="n">
        <v>1</v>
      </c>
      <c r="H161" s="13" t="n">
        <v>52</v>
      </c>
      <c r="I161" s="16" t="n">
        <v>0</v>
      </c>
      <c r="J161" s="13" t="n">
        <f aca="false">G161*H161</f>
        <v>52</v>
      </c>
      <c r="K161" s="13" t="n">
        <f aca="false">J161*(1-I161)</f>
        <v>52</v>
      </c>
    </row>
    <row r="162" customFormat="false" ht="15" hidden="false" customHeight="false" outlineLevel="0" collapsed="false">
      <c r="A162" s="11" t="n">
        <v>161</v>
      </c>
      <c r="B162" s="15" t="n">
        <v>45724</v>
      </c>
      <c r="C162" s="11" t="n">
        <v>4</v>
      </c>
      <c r="D162" s="11" t="n">
        <v>9</v>
      </c>
      <c r="E162" s="11" t="n">
        <v>36</v>
      </c>
      <c r="F162" s="11" t="n">
        <v>8</v>
      </c>
      <c r="G162" s="11" t="n">
        <v>2</v>
      </c>
      <c r="H162" s="13" t="n">
        <v>52</v>
      </c>
      <c r="I162" s="16" t="n">
        <v>0</v>
      </c>
      <c r="J162" s="13" t="n">
        <f aca="false">G162*H162</f>
        <v>104</v>
      </c>
      <c r="K162" s="13" t="n">
        <f aca="false">J162*(1-I162)</f>
        <v>104</v>
      </c>
    </row>
    <row r="163" customFormat="false" ht="15" hidden="false" customHeight="false" outlineLevel="0" collapsed="false">
      <c r="A163" s="11" t="n">
        <v>162</v>
      </c>
      <c r="B163" s="15" t="n">
        <v>45724</v>
      </c>
      <c r="C163" s="11" t="n">
        <v>4</v>
      </c>
      <c r="D163" s="11" t="n">
        <v>8</v>
      </c>
      <c r="E163" s="11" t="n">
        <v>20</v>
      </c>
      <c r="F163" s="11" t="n">
        <v>15</v>
      </c>
      <c r="G163" s="11" t="n">
        <v>2</v>
      </c>
      <c r="H163" s="13" t="n">
        <v>65</v>
      </c>
      <c r="I163" s="16" t="n">
        <v>0</v>
      </c>
      <c r="J163" s="13" t="n">
        <f aca="false">G163*H163</f>
        <v>130</v>
      </c>
      <c r="K163" s="13" t="n">
        <f aca="false">J163*(1-I163)</f>
        <v>130</v>
      </c>
    </row>
    <row r="164" customFormat="false" ht="15" hidden="false" customHeight="false" outlineLevel="0" collapsed="false">
      <c r="A164" s="11" t="n">
        <v>163</v>
      </c>
      <c r="B164" s="15" t="n">
        <v>45724</v>
      </c>
      <c r="C164" s="11" t="n">
        <v>3</v>
      </c>
      <c r="D164" s="11" t="n">
        <v>7</v>
      </c>
      <c r="E164" s="11" t="n">
        <v>1</v>
      </c>
      <c r="F164" s="11" t="n">
        <v>1</v>
      </c>
      <c r="G164" s="11" t="n">
        <v>2</v>
      </c>
      <c r="H164" s="13" t="n">
        <v>35</v>
      </c>
      <c r="I164" s="16" t="n">
        <v>0.05</v>
      </c>
      <c r="J164" s="13" t="n">
        <f aca="false">G164*H164</f>
        <v>70</v>
      </c>
      <c r="K164" s="13" t="n">
        <f aca="false">J164*(1-I164)</f>
        <v>66.5</v>
      </c>
    </row>
    <row r="165" customFormat="false" ht="15" hidden="false" customHeight="false" outlineLevel="0" collapsed="false">
      <c r="A165" s="11" t="n">
        <v>164</v>
      </c>
      <c r="B165" s="15" t="n">
        <v>45724</v>
      </c>
      <c r="C165" s="11" t="n">
        <v>2</v>
      </c>
      <c r="D165" s="11" t="n">
        <v>5</v>
      </c>
      <c r="E165" s="11" t="n">
        <v>52</v>
      </c>
      <c r="F165" s="11" t="n">
        <v>15</v>
      </c>
      <c r="G165" s="11" t="n">
        <v>2</v>
      </c>
      <c r="H165" s="13" t="n">
        <v>65</v>
      </c>
      <c r="I165" s="16" t="n">
        <v>0</v>
      </c>
      <c r="J165" s="13" t="n">
        <f aca="false">G165*H165</f>
        <v>130</v>
      </c>
      <c r="K165" s="13" t="n">
        <f aca="false">J165*(1-I165)</f>
        <v>130</v>
      </c>
    </row>
    <row r="166" customFormat="false" ht="15" hidden="false" customHeight="false" outlineLevel="0" collapsed="false">
      <c r="A166" s="11" t="n">
        <v>165</v>
      </c>
      <c r="B166" s="15" t="n">
        <v>45725</v>
      </c>
      <c r="C166" s="11" t="n">
        <v>1</v>
      </c>
      <c r="D166" s="11" t="n">
        <v>2</v>
      </c>
      <c r="E166" s="11" t="n">
        <v>36</v>
      </c>
      <c r="F166" s="11" t="n">
        <v>14</v>
      </c>
      <c r="G166" s="11" t="n">
        <v>2</v>
      </c>
      <c r="H166" s="13" t="n">
        <v>38</v>
      </c>
      <c r="I166" s="16" t="n">
        <v>0</v>
      </c>
      <c r="J166" s="13" t="n">
        <f aca="false">G166*H166</f>
        <v>76</v>
      </c>
      <c r="K166" s="13" t="n">
        <f aca="false">J166*(1-I166)</f>
        <v>76</v>
      </c>
    </row>
    <row r="167" customFormat="false" ht="15" hidden="false" customHeight="false" outlineLevel="0" collapsed="false">
      <c r="A167" s="11" t="n">
        <v>166</v>
      </c>
      <c r="B167" s="15" t="n">
        <v>45725</v>
      </c>
      <c r="C167" s="11" t="n">
        <v>4</v>
      </c>
      <c r="D167" s="11" t="n">
        <v>9</v>
      </c>
      <c r="E167" s="11" t="n">
        <v>24</v>
      </c>
      <c r="F167" s="11" t="n">
        <v>2</v>
      </c>
      <c r="G167" s="11" t="n">
        <v>1</v>
      </c>
      <c r="H167" s="13" t="n">
        <v>45</v>
      </c>
      <c r="I167" s="16" t="n">
        <v>0</v>
      </c>
      <c r="J167" s="13" t="n">
        <f aca="false">G167*H167</f>
        <v>45</v>
      </c>
      <c r="K167" s="13" t="n">
        <f aca="false">J167*(1-I167)</f>
        <v>45</v>
      </c>
    </row>
    <row r="168" customFormat="false" ht="15" hidden="false" customHeight="false" outlineLevel="0" collapsed="false">
      <c r="A168" s="11" t="n">
        <v>167</v>
      </c>
      <c r="B168" s="15" t="n">
        <v>45725</v>
      </c>
      <c r="C168" s="11" t="n">
        <v>5</v>
      </c>
      <c r="D168" s="11" t="n">
        <v>10</v>
      </c>
      <c r="E168" s="11" t="n">
        <v>54</v>
      </c>
      <c r="F168" s="11" t="n">
        <v>5</v>
      </c>
      <c r="G168" s="11" t="n">
        <v>1</v>
      </c>
      <c r="H168" s="13" t="n">
        <v>58</v>
      </c>
      <c r="I168" s="16" t="n">
        <v>0</v>
      </c>
      <c r="J168" s="13" t="n">
        <f aca="false">G168*H168</f>
        <v>58</v>
      </c>
      <c r="K168" s="13" t="n">
        <f aca="false">J168*(1-I168)</f>
        <v>58</v>
      </c>
    </row>
    <row r="169" customFormat="false" ht="15" hidden="false" customHeight="false" outlineLevel="0" collapsed="false">
      <c r="A169" s="11" t="n">
        <v>168</v>
      </c>
      <c r="B169" s="15" t="n">
        <v>45726</v>
      </c>
      <c r="C169" s="11" t="n">
        <v>2</v>
      </c>
      <c r="D169" s="11" t="n">
        <v>4</v>
      </c>
      <c r="E169" s="11" t="n">
        <v>58</v>
      </c>
      <c r="F169" s="11" t="n">
        <v>12</v>
      </c>
      <c r="G169" s="11" t="n">
        <v>1</v>
      </c>
      <c r="H169" s="13" t="n">
        <v>45</v>
      </c>
      <c r="I169" s="16" t="n">
        <v>0</v>
      </c>
      <c r="J169" s="13" t="n">
        <f aca="false">G169*H169</f>
        <v>45</v>
      </c>
      <c r="K169" s="13" t="n">
        <f aca="false">J169*(1-I169)</f>
        <v>45</v>
      </c>
    </row>
    <row r="170" customFormat="false" ht="15" hidden="false" customHeight="false" outlineLevel="0" collapsed="false">
      <c r="A170" s="11" t="n">
        <v>169</v>
      </c>
      <c r="B170" s="15" t="n">
        <v>45726</v>
      </c>
      <c r="C170" s="11" t="n">
        <v>3</v>
      </c>
      <c r="D170" s="11" t="n">
        <v>6</v>
      </c>
      <c r="E170" s="11" t="n">
        <v>45</v>
      </c>
      <c r="F170" s="11" t="n">
        <v>17</v>
      </c>
      <c r="G170" s="11" t="n">
        <v>3</v>
      </c>
      <c r="H170" s="13" t="n">
        <v>28</v>
      </c>
      <c r="I170" s="16" t="n">
        <v>0</v>
      </c>
      <c r="J170" s="13" t="n">
        <f aca="false">G170*H170</f>
        <v>84</v>
      </c>
      <c r="K170" s="13" t="n">
        <f aca="false">J170*(1-I170)</f>
        <v>84</v>
      </c>
    </row>
    <row r="171" customFormat="false" ht="15" hidden="false" customHeight="false" outlineLevel="0" collapsed="false">
      <c r="A171" s="11" t="n">
        <v>170</v>
      </c>
      <c r="B171" s="15" t="n">
        <v>45726</v>
      </c>
      <c r="C171" s="11" t="n">
        <v>4</v>
      </c>
      <c r="D171" s="11" t="n">
        <v>9</v>
      </c>
      <c r="E171" s="11" t="n">
        <v>47</v>
      </c>
      <c r="F171" s="11" t="n">
        <v>4</v>
      </c>
      <c r="G171" s="11" t="n">
        <v>1</v>
      </c>
      <c r="H171" s="13" t="n">
        <v>55</v>
      </c>
      <c r="I171" s="16" t="n">
        <v>0</v>
      </c>
      <c r="J171" s="13" t="n">
        <f aca="false">G171*H171</f>
        <v>55</v>
      </c>
      <c r="K171" s="13" t="n">
        <f aca="false">J171*(1-I171)</f>
        <v>55</v>
      </c>
    </row>
    <row r="172" customFormat="false" ht="15" hidden="false" customHeight="false" outlineLevel="0" collapsed="false">
      <c r="A172" s="11" t="n">
        <v>171</v>
      </c>
      <c r="B172" s="15" t="n">
        <v>45727</v>
      </c>
      <c r="C172" s="11" t="n">
        <v>3</v>
      </c>
      <c r="D172" s="11" t="n">
        <v>6</v>
      </c>
      <c r="E172" s="11" t="n">
        <v>58</v>
      </c>
      <c r="F172" s="11" t="n">
        <v>9</v>
      </c>
      <c r="G172" s="11" t="n">
        <v>1</v>
      </c>
      <c r="H172" s="13" t="n">
        <v>40</v>
      </c>
      <c r="I172" s="16" t="n">
        <v>0.15</v>
      </c>
      <c r="J172" s="13" t="n">
        <f aca="false">G172*H172</f>
        <v>40</v>
      </c>
      <c r="K172" s="13" t="n">
        <f aca="false">J172*(1-I172)</f>
        <v>34</v>
      </c>
    </row>
    <row r="173" customFormat="false" ht="15" hidden="false" customHeight="false" outlineLevel="0" collapsed="false">
      <c r="A173" s="11" t="n">
        <v>172</v>
      </c>
      <c r="B173" s="15" t="n">
        <v>45728</v>
      </c>
      <c r="C173" s="11" t="n">
        <v>4</v>
      </c>
      <c r="D173" s="11" t="n">
        <v>8</v>
      </c>
      <c r="E173" s="11" t="n">
        <v>25</v>
      </c>
      <c r="F173" s="11" t="n">
        <v>9</v>
      </c>
      <c r="G173" s="11" t="n">
        <v>2</v>
      </c>
      <c r="H173" s="13" t="n">
        <v>40</v>
      </c>
      <c r="I173" s="16" t="n">
        <v>0</v>
      </c>
      <c r="J173" s="13" t="n">
        <f aca="false">G173*H173</f>
        <v>80</v>
      </c>
      <c r="K173" s="13" t="n">
        <f aca="false">J173*(1-I173)</f>
        <v>80</v>
      </c>
    </row>
    <row r="174" customFormat="false" ht="15" hidden="false" customHeight="false" outlineLevel="0" collapsed="false">
      <c r="A174" s="11" t="n">
        <v>173</v>
      </c>
      <c r="B174" s="15" t="n">
        <v>45728</v>
      </c>
      <c r="C174" s="11" t="n">
        <v>5</v>
      </c>
      <c r="D174" s="11" t="n">
        <v>10</v>
      </c>
      <c r="E174" s="11" t="n">
        <v>22</v>
      </c>
      <c r="F174" s="11" t="n">
        <v>5</v>
      </c>
      <c r="G174" s="11" t="n">
        <v>1</v>
      </c>
      <c r="H174" s="13" t="n">
        <v>58</v>
      </c>
      <c r="I174" s="16" t="n">
        <v>0</v>
      </c>
      <c r="J174" s="13" t="n">
        <f aca="false">G174*H174</f>
        <v>58</v>
      </c>
      <c r="K174" s="13" t="n">
        <f aca="false">J174*(1-I174)</f>
        <v>58</v>
      </c>
    </row>
    <row r="175" customFormat="false" ht="15" hidden="false" customHeight="false" outlineLevel="0" collapsed="false">
      <c r="A175" s="11" t="n">
        <v>174</v>
      </c>
      <c r="B175" s="15" t="n">
        <v>45728</v>
      </c>
      <c r="C175" s="11" t="n">
        <v>2</v>
      </c>
      <c r="D175" s="11" t="n">
        <v>4</v>
      </c>
      <c r="E175" s="11" t="n">
        <v>19</v>
      </c>
      <c r="F175" s="11" t="n">
        <v>7</v>
      </c>
      <c r="G175" s="11" t="n">
        <v>1</v>
      </c>
      <c r="H175" s="13" t="n">
        <v>50</v>
      </c>
      <c r="I175" s="16" t="n">
        <v>0.05</v>
      </c>
      <c r="J175" s="13" t="n">
        <f aca="false">G175*H175</f>
        <v>50</v>
      </c>
      <c r="K175" s="13" t="n">
        <f aca="false">J175*(1-I175)</f>
        <v>47.5</v>
      </c>
    </row>
    <row r="176" customFormat="false" ht="15" hidden="false" customHeight="false" outlineLevel="0" collapsed="false">
      <c r="A176" s="11" t="n">
        <v>175</v>
      </c>
      <c r="B176" s="15" t="n">
        <v>45728</v>
      </c>
      <c r="C176" s="11" t="n">
        <v>1</v>
      </c>
      <c r="D176" s="11" t="n">
        <v>1</v>
      </c>
      <c r="E176" s="11" t="n">
        <v>55</v>
      </c>
      <c r="F176" s="11" t="n">
        <v>9</v>
      </c>
      <c r="G176" s="11" t="n">
        <v>4</v>
      </c>
      <c r="H176" s="13" t="n">
        <v>40</v>
      </c>
      <c r="I176" s="16" t="n">
        <v>0</v>
      </c>
      <c r="J176" s="13" t="n">
        <f aca="false">G176*H176</f>
        <v>160</v>
      </c>
      <c r="K176" s="13" t="n">
        <f aca="false">J176*(1-I176)</f>
        <v>160</v>
      </c>
    </row>
    <row r="177" customFormat="false" ht="15" hidden="false" customHeight="false" outlineLevel="0" collapsed="false">
      <c r="A177" s="11" t="n">
        <v>176</v>
      </c>
      <c r="B177" s="15" t="n">
        <v>45728</v>
      </c>
      <c r="C177" s="11" t="n">
        <v>1</v>
      </c>
      <c r="D177" s="11" t="n">
        <v>2</v>
      </c>
      <c r="E177" s="11" t="n">
        <v>12</v>
      </c>
      <c r="F177" s="11" t="n">
        <v>6</v>
      </c>
      <c r="G177" s="11" t="n">
        <v>2</v>
      </c>
      <c r="H177" s="13" t="n">
        <v>62</v>
      </c>
      <c r="I177" s="16" t="n">
        <v>0.05</v>
      </c>
      <c r="J177" s="13" t="n">
        <f aca="false">G177*H177</f>
        <v>124</v>
      </c>
      <c r="K177" s="13" t="n">
        <f aca="false">J177*(1-I177)</f>
        <v>117.8</v>
      </c>
    </row>
    <row r="178" customFormat="false" ht="15" hidden="false" customHeight="false" outlineLevel="0" collapsed="false">
      <c r="A178" s="11" t="n">
        <v>177</v>
      </c>
      <c r="B178" s="15" t="n">
        <v>45729</v>
      </c>
      <c r="C178" s="11" t="n">
        <v>3</v>
      </c>
      <c r="D178" s="11" t="n">
        <v>6</v>
      </c>
      <c r="E178" s="11" t="n">
        <v>33</v>
      </c>
      <c r="F178" s="11" t="n">
        <v>18</v>
      </c>
      <c r="G178" s="11" t="n">
        <v>3</v>
      </c>
      <c r="H178" s="13" t="n">
        <v>95</v>
      </c>
      <c r="I178" s="16" t="n">
        <v>0.05</v>
      </c>
      <c r="J178" s="13" t="n">
        <f aca="false">G178*H178</f>
        <v>285</v>
      </c>
      <c r="K178" s="13" t="n">
        <f aca="false">J178*(1-I178)</f>
        <v>270.75</v>
      </c>
    </row>
    <row r="179" customFormat="false" ht="15" hidden="false" customHeight="false" outlineLevel="0" collapsed="false">
      <c r="A179" s="11" t="n">
        <v>178</v>
      </c>
      <c r="B179" s="15" t="n">
        <v>45729</v>
      </c>
      <c r="C179" s="11" t="n">
        <v>1</v>
      </c>
      <c r="D179" s="11" t="n">
        <v>2</v>
      </c>
      <c r="E179" s="11" t="n">
        <v>21</v>
      </c>
      <c r="F179" s="11" t="n">
        <v>19</v>
      </c>
      <c r="G179" s="11" t="n">
        <v>1</v>
      </c>
      <c r="H179" s="13" t="n">
        <v>125</v>
      </c>
      <c r="I179" s="16" t="n">
        <v>0</v>
      </c>
      <c r="J179" s="13" t="n">
        <f aca="false">G179*H179</f>
        <v>125</v>
      </c>
      <c r="K179" s="13" t="n">
        <f aca="false">J179*(1-I179)</f>
        <v>125</v>
      </c>
    </row>
    <row r="180" customFormat="false" ht="15" hidden="false" customHeight="false" outlineLevel="0" collapsed="false">
      <c r="A180" s="11" t="n">
        <v>179</v>
      </c>
      <c r="B180" s="15" t="n">
        <v>45730</v>
      </c>
      <c r="C180" s="11" t="n">
        <v>3</v>
      </c>
      <c r="D180" s="11" t="n">
        <v>7</v>
      </c>
      <c r="E180" s="11" t="n">
        <v>23</v>
      </c>
      <c r="F180" s="11" t="n">
        <v>18</v>
      </c>
      <c r="G180" s="11" t="n">
        <v>1</v>
      </c>
      <c r="H180" s="13" t="n">
        <v>95</v>
      </c>
      <c r="I180" s="16" t="n">
        <v>0.05</v>
      </c>
      <c r="J180" s="13" t="n">
        <f aca="false">G180*H180</f>
        <v>95</v>
      </c>
      <c r="K180" s="13" t="n">
        <f aca="false">J180*(1-I180)</f>
        <v>90.25</v>
      </c>
    </row>
    <row r="181" customFormat="false" ht="15" hidden="false" customHeight="false" outlineLevel="0" collapsed="false">
      <c r="A181" s="11" t="n">
        <v>180</v>
      </c>
      <c r="B181" s="15" t="n">
        <v>45730</v>
      </c>
      <c r="C181" s="11" t="n">
        <v>1</v>
      </c>
      <c r="D181" s="11" t="n">
        <v>3</v>
      </c>
      <c r="E181" s="11" t="n">
        <v>28</v>
      </c>
      <c r="F181" s="11" t="n">
        <v>7</v>
      </c>
      <c r="G181" s="11" t="n">
        <v>5</v>
      </c>
      <c r="H181" s="13" t="n">
        <v>50</v>
      </c>
      <c r="I181" s="16" t="n">
        <v>0</v>
      </c>
      <c r="J181" s="13" t="n">
        <f aca="false">G181*H181</f>
        <v>250</v>
      </c>
      <c r="K181" s="13" t="n">
        <f aca="false">J181*(1-I181)</f>
        <v>250</v>
      </c>
    </row>
    <row r="182" customFormat="false" ht="15" hidden="false" customHeight="false" outlineLevel="0" collapsed="false">
      <c r="A182" s="11" t="n">
        <v>181</v>
      </c>
      <c r="B182" s="15" t="n">
        <v>45730</v>
      </c>
      <c r="C182" s="11" t="n">
        <v>2</v>
      </c>
      <c r="D182" s="11" t="n">
        <v>4</v>
      </c>
      <c r="E182" s="11" t="n">
        <v>12</v>
      </c>
      <c r="F182" s="11" t="n">
        <v>15</v>
      </c>
      <c r="G182" s="11" t="n">
        <v>2</v>
      </c>
      <c r="H182" s="13" t="n">
        <v>65</v>
      </c>
      <c r="I182" s="16" t="n">
        <v>0</v>
      </c>
      <c r="J182" s="13" t="n">
        <f aca="false">G182*H182</f>
        <v>130</v>
      </c>
      <c r="K182" s="13" t="n">
        <f aca="false">J182*(1-I182)</f>
        <v>130</v>
      </c>
    </row>
    <row r="183" customFormat="false" ht="15" hidden="false" customHeight="false" outlineLevel="0" collapsed="false">
      <c r="A183" s="11" t="n">
        <v>182</v>
      </c>
      <c r="B183" s="15" t="n">
        <v>45730</v>
      </c>
      <c r="C183" s="11" t="n">
        <v>5</v>
      </c>
      <c r="D183" s="11" t="n">
        <v>10</v>
      </c>
      <c r="E183" s="11" t="n">
        <v>33</v>
      </c>
      <c r="F183" s="11" t="n">
        <v>16</v>
      </c>
      <c r="G183" s="11" t="n">
        <v>2</v>
      </c>
      <c r="H183" s="13" t="n">
        <v>45</v>
      </c>
      <c r="I183" s="16" t="n">
        <v>0</v>
      </c>
      <c r="J183" s="13" t="n">
        <f aca="false">G183*H183</f>
        <v>90</v>
      </c>
      <c r="K183" s="13" t="n">
        <f aca="false">J183*(1-I183)</f>
        <v>90</v>
      </c>
    </row>
    <row r="184" customFormat="false" ht="15" hidden="false" customHeight="false" outlineLevel="0" collapsed="false">
      <c r="A184" s="11" t="n">
        <v>183</v>
      </c>
      <c r="B184" s="15" t="n">
        <v>45732</v>
      </c>
      <c r="C184" s="11" t="n">
        <v>4</v>
      </c>
      <c r="D184" s="11" t="n">
        <v>9</v>
      </c>
      <c r="E184" s="11" t="n">
        <v>37</v>
      </c>
      <c r="F184" s="11" t="n">
        <v>4</v>
      </c>
      <c r="G184" s="11" t="n">
        <v>3</v>
      </c>
      <c r="H184" s="13" t="n">
        <v>55</v>
      </c>
      <c r="I184" s="16" t="n">
        <v>0.1</v>
      </c>
      <c r="J184" s="13" t="n">
        <f aca="false">G184*H184</f>
        <v>165</v>
      </c>
      <c r="K184" s="13" t="n">
        <f aca="false">J184*(1-I184)</f>
        <v>148.5</v>
      </c>
    </row>
    <row r="185" customFormat="false" ht="15" hidden="false" customHeight="false" outlineLevel="0" collapsed="false">
      <c r="A185" s="11" t="n">
        <v>184</v>
      </c>
      <c r="B185" s="15" t="n">
        <v>45732</v>
      </c>
      <c r="C185" s="11" t="n">
        <v>1</v>
      </c>
      <c r="D185" s="11" t="n">
        <v>3</v>
      </c>
      <c r="E185" s="11" t="n">
        <v>30</v>
      </c>
      <c r="F185" s="11" t="n">
        <v>9</v>
      </c>
      <c r="G185" s="11" t="n">
        <v>4</v>
      </c>
      <c r="H185" s="13" t="n">
        <v>40</v>
      </c>
      <c r="I185" s="16" t="n">
        <v>0</v>
      </c>
      <c r="J185" s="13" t="n">
        <f aca="false">G185*H185</f>
        <v>160</v>
      </c>
      <c r="K185" s="13" t="n">
        <f aca="false">J185*(1-I185)</f>
        <v>160</v>
      </c>
    </row>
    <row r="186" customFormat="false" ht="15" hidden="false" customHeight="false" outlineLevel="0" collapsed="false">
      <c r="A186" s="11" t="n">
        <v>185</v>
      </c>
      <c r="B186" s="15" t="n">
        <v>45733</v>
      </c>
      <c r="C186" s="11" t="n">
        <v>4</v>
      </c>
      <c r="D186" s="11" t="n">
        <v>8</v>
      </c>
      <c r="E186" s="11" t="n">
        <v>33</v>
      </c>
      <c r="F186" s="11" t="n">
        <v>19</v>
      </c>
      <c r="G186" s="11" t="n">
        <v>1</v>
      </c>
      <c r="H186" s="13" t="n">
        <v>125</v>
      </c>
      <c r="I186" s="16" t="n">
        <v>0.05</v>
      </c>
      <c r="J186" s="13" t="n">
        <f aca="false">G186*H186</f>
        <v>125</v>
      </c>
      <c r="K186" s="13" t="n">
        <f aca="false">J186*(1-I186)</f>
        <v>118.75</v>
      </c>
    </row>
    <row r="187" customFormat="false" ht="15" hidden="false" customHeight="false" outlineLevel="0" collapsed="false">
      <c r="A187" s="11" t="n">
        <v>186</v>
      </c>
      <c r="B187" s="15" t="n">
        <v>45734</v>
      </c>
      <c r="C187" s="11" t="n">
        <v>2</v>
      </c>
      <c r="D187" s="11" t="n">
        <v>5</v>
      </c>
      <c r="E187" s="11" t="n">
        <v>33</v>
      </c>
      <c r="F187" s="11" t="n">
        <v>15</v>
      </c>
      <c r="G187" s="11" t="n">
        <v>2</v>
      </c>
      <c r="H187" s="13" t="n">
        <v>65</v>
      </c>
      <c r="I187" s="16" t="n">
        <v>0</v>
      </c>
      <c r="J187" s="13" t="n">
        <f aca="false">G187*H187</f>
        <v>130</v>
      </c>
      <c r="K187" s="13" t="n">
        <f aca="false">J187*(1-I187)</f>
        <v>130</v>
      </c>
    </row>
    <row r="188" customFormat="false" ht="15" hidden="false" customHeight="false" outlineLevel="0" collapsed="false">
      <c r="A188" s="11" t="n">
        <v>187</v>
      </c>
      <c r="B188" s="15" t="n">
        <v>45734</v>
      </c>
      <c r="C188" s="11" t="n">
        <v>3</v>
      </c>
      <c r="D188" s="11" t="n">
        <v>6</v>
      </c>
      <c r="E188" s="11" t="n">
        <v>20</v>
      </c>
      <c r="F188" s="11" t="n">
        <v>5</v>
      </c>
      <c r="G188" s="11" t="n">
        <v>3</v>
      </c>
      <c r="H188" s="13" t="n">
        <v>58</v>
      </c>
      <c r="I188" s="16" t="n">
        <v>0.1</v>
      </c>
      <c r="J188" s="13" t="n">
        <f aca="false">G188*H188</f>
        <v>174</v>
      </c>
      <c r="K188" s="13" t="n">
        <f aca="false">J188*(1-I188)</f>
        <v>156.6</v>
      </c>
    </row>
    <row r="189" customFormat="false" ht="15" hidden="false" customHeight="false" outlineLevel="0" collapsed="false">
      <c r="A189" s="11" t="n">
        <v>188</v>
      </c>
      <c r="B189" s="15" t="n">
        <v>45734</v>
      </c>
      <c r="C189" s="11" t="n">
        <v>2</v>
      </c>
      <c r="D189" s="11" t="n">
        <v>4</v>
      </c>
      <c r="E189" s="11" t="n">
        <v>39</v>
      </c>
      <c r="F189" s="11" t="n">
        <v>14</v>
      </c>
      <c r="G189" s="11" t="n">
        <v>1</v>
      </c>
      <c r="H189" s="13" t="n">
        <v>38</v>
      </c>
      <c r="I189" s="16" t="n">
        <v>0</v>
      </c>
      <c r="J189" s="13" t="n">
        <f aca="false">G189*H189</f>
        <v>38</v>
      </c>
      <c r="K189" s="13" t="n">
        <f aca="false">J189*(1-I189)</f>
        <v>38</v>
      </c>
    </row>
    <row r="190" customFormat="false" ht="15" hidden="false" customHeight="false" outlineLevel="0" collapsed="false">
      <c r="A190" s="11" t="n">
        <v>189</v>
      </c>
      <c r="B190" s="15" t="n">
        <v>45734</v>
      </c>
      <c r="C190" s="11" t="n">
        <v>4</v>
      </c>
      <c r="D190" s="11" t="n">
        <v>9</v>
      </c>
      <c r="E190" s="11" t="n">
        <v>49</v>
      </c>
      <c r="F190" s="11" t="n">
        <v>13</v>
      </c>
      <c r="G190" s="11" t="n">
        <v>1</v>
      </c>
      <c r="H190" s="13" t="n">
        <v>32</v>
      </c>
      <c r="I190" s="16" t="n">
        <v>0</v>
      </c>
      <c r="J190" s="13" t="n">
        <f aca="false">G190*H190</f>
        <v>32</v>
      </c>
      <c r="K190" s="13" t="n">
        <f aca="false">J190*(1-I190)</f>
        <v>32</v>
      </c>
    </row>
    <row r="191" customFormat="false" ht="15" hidden="false" customHeight="false" outlineLevel="0" collapsed="false">
      <c r="A191" s="11" t="n">
        <v>190</v>
      </c>
      <c r="B191" s="15" t="n">
        <v>45734</v>
      </c>
      <c r="C191" s="11" t="n">
        <v>2</v>
      </c>
      <c r="D191" s="11" t="n">
        <v>5</v>
      </c>
      <c r="E191" s="11" t="n">
        <v>21</v>
      </c>
      <c r="F191" s="11" t="n">
        <v>20</v>
      </c>
      <c r="G191" s="11" t="n">
        <v>1</v>
      </c>
      <c r="H191" s="13" t="n">
        <v>88</v>
      </c>
      <c r="I191" s="16" t="n">
        <v>0</v>
      </c>
      <c r="J191" s="13" t="n">
        <f aca="false">G191*H191</f>
        <v>88</v>
      </c>
      <c r="K191" s="13" t="n">
        <f aca="false">J191*(1-I191)</f>
        <v>88</v>
      </c>
    </row>
    <row r="192" customFormat="false" ht="15" hidden="false" customHeight="false" outlineLevel="0" collapsed="false">
      <c r="A192" s="11" t="n">
        <v>191</v>
      </c>
      <c r="B192" s="15" t="n">
        <v>45734</v>
      </c>
      <c r="C192" s="11" t="n">
        <v>2</v>
      </c>
      <c r="D192" s="11" t="n">
        <v>5</v>
      </c>
      <c r="E192" s="11" t="n">
        <v>8</v>
      </c>
      <c r="F192" s="11" t="n">
        <v>2</v>
      </c>
      <c r="G192" s="11" t="n">
        <v>1</v>
      </c>
      <c r="H192" s="13" t="n">
        <v>45</v>
      </c>
      <c r="I192" s="16" t="n">
        <v>0</v>
      </c>
      <c r="J192" s="13" t="n">
        <f aca="false">G192*H192</f>
        <v>45</v>
      </c>
      <c r="K192" s="13" t="n">
        <f aca="false">J192*(1-I192)</f>
        <v>45</v>
      </c>
    </row>
    <row r="193" customFormat="false" ht="15" hidden="false" customHeight="false" outlineLevel="0" collapsed="false">
      <c r="A193" s="11" t="n">
        <v>192</v>
      </c>
      <c r="B193" s="15" t="n">
        <v>45734</v>
      </c>
      <c r="C193" s="11" t="n">
        <v>1</v>
      </c>
      <c r="D193" s="11" t="n">
        <v>1</v>
      </c>
      <c r="E193" s="11" t="n">
        <v>6</v>
      </c>
      <c r="F193" s="11" t="n">
        <v>4</v>
      </c>
      <c r="G193" s="11" t="n">
        <v>1</v>
      </c>
      <c r="H193" s="13" t="n">
        <v>55</v>
      </c>
      <c r="I193" s="16" t="n">
        <v>0</v>
      </c>
      <c r="J193" s="13" t="n">
        <f aca="false">G193*H193</f>
        <v>55</v>
      </c>
      <c r="K193" s="13" t="n">
        <f aca="false">J193*(1-I193)</f>
        <v>55</v>
      </c>
    </row>
    <row r="194" customFormat="false" ht="15" hidden="false" customHeight="false" outlineLevel="0" collapsed="false">
      <c r="A194" s="11" t="n">
        <v>193</v>
      </c>
      <c r="B194" s="15" t="n">
        <v>45735</v>
      </c>
      <c r="C194" s="11" t="n">
        <v>5</v>
      </c>
      <c r="D194" s="11" t="n">
        <v>10</v>
      </c>
      <c r="E194" s="11" t="n">
        <v>3</v>
      </c>
      <c r="F194" s="11" t="n">
        <v>1</v>
      </c>
      <c r="G194" s="11" t="n">
        <v>1</v>
      </c>
      <c r="H194" s="13" t="n">
        <v>35</v>
      </c>
      <c r="I194" s="16" t="n">
        <v>0</v>
      </c>
      <c r="J194" s="13" t="n">
        <f aca="false">G194*H194</f>
        <v>35</v>
      </c>
      <c r="K194" s="13" t="n">
        <f aca="false">J194*(1-I194)</f>
        <v>35</v>
      </c>
    </row>
    <row r="195" customFormat="false" ht="15" hidden="false" customHeight="false" outlineLevel="0" collapsed="false">
      <c r="A195" s="11" t="n">
        <v>194</v>
      </c>
      <c r="B195" s="15" t="n">
        <v>45735</v>
      </c>
      <c r="C195" s="11" t="n">
        <v>5</v>
      </c>
      <c r="D195" s="11" t="n">
        <v>10</v>
      </c>
      <c r="E195" s="11" t="n">
        <v>33</v>
      </c>
      <c r="F195" s="11" t="n">
        <v>15</v>
      </c>
      <c r="G195" s="11" t="n">
        <v>1</v>
      </c>
      <c r="H195" s="13" t="n">
        <v>65</v>
      </c>
      <c r="I195" s="16" t="n">
        <v>0</v>
      </c>
      <c r="J195" s="13" t="n">
        <f aca="false">G195*H195</f>
        <v>65</v>
      </c>
      <c r="K195" s="13" t="n">
        <f aca="false">J195*(1-I195)</f>
        <v>65</v>
      </c>
    </row>
    <row r="196" customFormat="false" ht="15" hidden="false" customHeight="false" outlineLevel="0" collapsed="false">
      <c r="A196" s="11" t="n">
        <v>195</v>
      </c>
      <c r="B196" s="15" t="n">
        <v>45736</v>
      </c>
      <c r="C196" s="11" t="n">
        <v>4</v>
      </c>
      <c r="D196" s="11" t="n">
        <v>9</v>
      </c>
      <c r="E196" s="11" t="n">
        <v>54</v>
      </c>
      <c r="F196" s="11" t="n">
        <v>19</v>
      </c>
      <c r="G196" s="11" t="n">
        <v>1</v>
      </c>
      <c r="H196" s="13" t="n">
        <v>125</v>
      </c>
      <c r="I196" s="16" t="n">
        <v>0.05</v>
      </c>
      <c r="J196" s="13" t="n">
        <f aca="false">G196*H196</f>
        <v>125</v>
      </c>
      <c r="K196" s="13" t="n">
        <f aca="false">J196*(1-I196)</f>
        <v>118.75</v>
      </c>
    </row>
    <row r="197" customFormat="false" ht="15" hidden="false" customHeight="false" outlineLevel="0" collapsed="false">
      <c r="A197" s="11" t="n">
        <v>196</v>
      </c>
      <c r="B197" s="15" t="n">
        <v>45736</v>
      </c>
      <c r="C197" s="11" t="n">
        <v>4</v>
      </c>
      <c r="D197" s="11" t="n">
        <v>8</v>
      </c>
      <c r="E197" s="11" t="n">
        <v>20</v>
      </c>
      <c r="F197" s="11" t="n">
        <v>20</v>
      </c>
      <c r="G197" s="11" t="n">
        <v>2</v>
      </c>
      <c r="H197" s="13" t="n">
        <v>88</v>
      </c>
      <c r="I197" s="16" t="n">
        <v>0</v>
      </c>
      <c r="J197" s="13" t="n">
        <f aca="false">G197*H197</f>
        <v>176</v>
      </c>
      <c r="K197" s="13" t="n">
        <f aca="false">J197*(1-I197)</f>
        <v>176</v>
      </c>
    </row>
    <row r="198" customFormat="false" ht="15" hidden="false" customHeight="false" outlineLevel="0" collapsed="false">
      <c r="A198" s="11" t="n">
        <v>197</v>
      </c>
      <c r="B198" s="15" t="n">
        <v>45736</v>
      </c>
      <c r="C198" s="11" t="n">
        <v>1</v>
      </c>
      <c r="D198" s="11" t="n">
        <v>3</v>
      </c>
      <c r="E198" s="11" t="n">
        <v>18</v>
      </c>
      <c r="F198" s="11" t="n">
        <v>8</v>
      </c>
      <c r="G198" s="11" t="n">
        <v>1</v>
      </c>
      <c r="H198" s="13" t="n">
        <v>52</v>
      </c>
      <c r="I198" s="16" t="n">
        <v>0</v>
      </c>
      <c r="J198" s="13" t="n">
        <f aca="false">G198*H198</f>
        <v>52</v>
      </c>
      <c r="K198" s="13" t="n">
        <f aca="false">J198*(1-I198)</f>
        <v>52</v>
      </c>
    </row>
    <row r="199" customFormat="false" ht="15" hidden="false" customHeight="false" outlineLevel="0" collapsed="false">
      <c r="A199" s="11" t="n">
        <v>198</v>
      </c>
      <c r="B199" s="15" t="n">
        <v>45737</v>
      </c>
      <c r="C199" s="11" t="n">
        <v>1</v>
      </c>
      <c r="D199" s="11" t="n">
        <v>2</v>
      </c>
      <c r="E199" s="11" t="n">
        <v>18</v>
      </c>
      <c r="F199" s="11" t="n">
        <v>7</v>
      </c>
      <c r="G199" s="11" t="n">
        <v>2</v>
      </c>
      <c r="H199" s="13" t="n">
        <v>50</v>
      </c>
      <c r="I199" s="16" t="n">
        <v>0</v>
      </c>
      <c r="J199" s="13" t="n">
        <f aca="false">G199*H199</f>
        <v>100</v>
      </c>
      <c r="K199" s="13" t="n">
        <f aca="false">J199*(1-I199)</f>
        <v>100</v>
      </c>
    </row>
    <row r="200" customFormat="false" ht="15" hidden="false" customHeight="false" outlineLevel="0" collapsed="false">
      <c r="A200" s="11" t="n">
        <v>199</v>
      </c>
      <c r="B200" s="15" t="n">
        <v>45737</v>
      </c>
      <c r="C200" s="11" t="n">
        <v>1</v>
      </c>
      <c r="D200" s="11" t="n">
        <v>2</v>
      </c>
      <c r="E200" s="11" t="n">
        <v>40</v>
      </c>
      <c r="F200" s="11" t="n">
        <v>3</v>
      </c>
      <c r="G200" s="11" t="n">
        <v>3</v>
      </c>
      <c r="H200" s="13" t="n">
        <v>38</v>
      </c>
      <c r="I200" s="16" t="n">
        <v>0</v>
      </c>
      <c r="J200" s="13" t="n">
        <f aca="false">G200*H200</f>
        <v>114</v>
      </c>
      <c r="K200" s="13" t="n">
        <f aca="false">J200*(1-I200)</f>
        <v>114</v>
      </c>
    </row>
    <row r="201" customFormat="false" ht="15" hidden="false" customHeight="false" outlineLevel="0" collapsed="false">
      <c r="A201" s="11" t="n">
        <v>200</v>
      </c>
      <c r="B201" s="15" t="n">
        <v>45737</v>
      </c>
      <c r="C201" s="11" t="n">
        <v>3</v>
      </c>
      <c r="D201" s="11" t="n">
        <v>6</v>
      </c>
      <c r="E201" s="11" t="n">
        <v>4</v>
      </c>
      <c r="F201" s="11" t="n">
        <v>6</v>
      </c>
      <c r="G201" s="11" t="n">
        <v>1</v>
      </c>
      <c r="H201" s="13" t="n">
        <v>62</v>
      </c>
      <c r="I201" s="16" t="n">
        <v>0</v>
      </c>
      <c r="J201" s="13" t="n">
        <f aca="false">G201*H201</f>
        <v>62</v>
      </c>
      <c r="K201" s="13" t="n">
        <f aca="false">J201*(1-I201)</f>
        <v>62</v>
      </c>
    </row>
    <row r="202" customFormat="false" ht="15" hidden="false" customHeight="false" outlineLevel="0" collapsed="false">
      <c r="A202" s="11" t="n">
        <v>201</v>
      </c>
      <c r="B202" s="15" t="n">
        <v>45738</v>
      </c>
      <c r="C202" s="11" t="n">
        <v>1</v>
      </c>
      <c r="D202" s="11" t="n">
        <v>3</v>
      </c>
      <c r="E202" s="11" t="n">
        <v>37</v>
      </c>
      <c r="F202" s="11" t="n">
        <v>1</v>
      </c>
      <c r="G202" s="11" t="n">
        <v>2</v>
      </c>
      <c r="H202" s="13" t="n">
        <v>35</v>
      </c>
      <c r="I202" s="16" t="n">
        <v>0</v>
      </c>
      <c r="J202" s="13" t="n">
        <f aca="false">G202*H202</f>
        <v>70</v>
      </c>
      <c r="K202" s="13" t="n">
        <f aca="false">J202*(1-I202)</f>
        <v>70</v>
      </c>
    </row>
    <row r="203" customFormat="false" ht="15" hidden="false" customHeight="false" outlineLevel="0" collapsed="false">
      <c r="A203" s="11" t="n">
        <v>202</v>
      </c>
      <c r="B203" s="15" t="n">
        <v>45738</v>
      </c>
      <c r="C203" s="11" t="n">
        <v>4</v>
      </c>
      <c r="D203" s="11" t="n">
        <v>9</v>
      </c>
      <c r="E203" s="11" t="n">
        <v>27</v>
      </c>
      <c r="F203" s="11" t="n">
        <v>11</v>
      </c>
      <c r="G203" s="11" t="n">
        <v>3</v>
      </c>
      <c r="H203" s="13" t="n">
        <v>72</v>
      </c>
      <c r="I203" s="16" t="n">
        <v>0.1</v>
      </c>
      <c r="J203" s="13" t="n">
        <f aca="false">G203*H203</f>
        <v>216</v>
      </c>
      <c r="K203" s="13" t="n">
        <f aca="false">J203*(1-I203)</f>
        <v>194.4</v>
      </c>
    </row>
    <row r="204" customFormat="false" ht="15" hidden="false" customHeight="false" outlineLevel="0" collapsed="false">
      <c r="A204" s="11" t="n">
        <v>203</v>
      </c>
      <c r="B204" s="15" t="n">
        <v>45738</v>
      </c>
      <c r="C204" s="11" t="n">
        <v>4</v>
      </c>
      <c r="D204" s="11" t="n">
        <v>9</v>
      </c>
      <c r="E204" s="11" t="n">
        <v>10</v>
      </c>
      <c r="F204" s="11" t="n">
        <v>15</v>
      </c>
      <c r="G204" s="11" t="n">
        <v>1</v>
      </c>
      <c r="H204" s="13" t="n">
        <v>65</v>
      </c>
      <c r="I204" s="16" t="n">
        <v>0</v>
      </c>
      <c r="J204" s="13" t="n">
        <f aca="false">G204*H204</f>
        <v>65</v>
      </c>
      <c r="K204" s="13" t="n">
        <f aca="false">J204*(1-I204)</f>
        <v>65</v>
      </c>
    </row>
    <row r="205" customFormat="false" ht="15" hidden="false" customHeight="false" outlineLevel="0" collapsed="false">
      <c r="A205" s="11" t="n">
        <v>204</v>
      </c>
      <c r="B205" s="15" t="n">
        <v>45739</v>
      </c>
      <c r="C205" s="11" t="n">
        <v>5</v>
      </c>
      <c r="D205" s="11" t="n">
        <v>10</v>
      </c>
      <c r="E205" s="11" t="n">
        <v>51</v>
      </c>
      <c r="F205" s="11" t="n">
        <v>12</v>
      </c>
      <c r="G205" s="11" t="n">
        <v>1</v>
      </c>
      <c r="H205" s="13" t="n">
        <v>45</v>
      </c>
      <c r="I205" s="16" t="n">
        <v>0</v>
      </c>
      <c r="J205" s="13" t="n">
        <f aca="false">G205*H205</f>
        <v>45</v>
      </c>
      <c r="K205" s="13" t="n">
        <f aca="false">J205*(1-I205)</f>
        <v>45</v>
      </c>
    </row>
    <row r="206" customFormat="false" ht="15" hidden="false" customHeight="false" outlineLevel="0" collapsed="false">
      <c r="A206" s="11" t="n">
        <v>205</v>
      </c>
      <c r="B206" s="15" t="n">
        <v>45739</v>
      </c>
      <c r="C206" s="11" t="n">
        <v>4</v>
      </c>
      <c r="D206" s="11" t="n">
        <v>9</v>
      </c>
      <c r="E206" s="11" t="n">
        <v>7</v>
      </c>
      <c r="F206" s="11" t="n">
        <v>9</v>
      </c>
      <c r="G206" s="11" t="n">
        <v>2</v>
      </c>
      <c r="H206" s="13" t="n">
        <v>40</v>
      </c>
      <c r="I206" s="16" t="n">
        <v>0</v>
      </c>
      <c r="J206" s="13" t="n">
        <f aca="false">G206*H206</f>
        <v>80</v>
      </c>
      <c r="K206" s="13" t="n">
        <f aca="false">J206*(1-I206)</f>
        <v>80</v>
      </c>
    </row>
    <row r="207" customFormat="false" ht="15" hidden="false" customHeight="false" outlineLevel="0" collapsed="false">
      <c r="A207" s="11" t="n">
        <v>206</v>
      </c>
      <c r="B207" s="15" t="n">
        <v>45739</v>
      </c>
      <c r="C207" s="11" t="n">
        <v>1</v>
      </c>
      <c r="D207" s="11" t="n">
        <v>2</v>
      </c>
      <c r="E207" s="11" t="n">
        <v>7</v>
      </c>
      <c r="F207" s="11" t="n">
        <v>11</v>
      </c>
      <c r="G207" s="11" t="n">
        <v>1</v>
      </c>
      <c r="H207" s="13" t="n">
        <v>72</v>
      </c>
      <c r="I207" s="16" t="n">
        <v>0.05</v>
      </c>
      <c r="J207" s="13" t="n">
        <f aca="false">G207*H207</f>
        <v>72</v>
      </c>
      <c r="K207" s="13" t="n">
        <f aca="false">J207*(1-I207)</f>
        <v>68.4</v>
      </c>
    </row>
    <row r="208" customFormat="false" ht="15" hidden="false" customHeight="false" outlineLevel="0" collapsed="false">
      <c r="A208" s="11" t="n">
        <v>207</v>
      </c>
      <c r="B208" s="15" t="n">
        <v>45740</v>
      </c>
      <c r="C208" s="11" t="n">
        <v>4</v>
      </c>
      <c r="D208" s="11" t="n">
        <v>8</v>
      </c>
      <c r="E208" s="11" t="n">
        <v>32</v>
      </c>
      <c r="F208" s="11" t="n">
        <v>7</v>
      </c>
      <c r="G208" s="11" t="n">
        <v>1</v>
      </c>
      <c r="H208" s="13" t="n">
        <v>50</v>
      </c>
      <c r="I208" s="16" t="n">
        <v>0</v>
      </c>
      <c r="J208" s="13" t="n">
        <f aca="false">G208*H208</f>
        <v>50</v>
      </c>
      <c r="K208" s="13" t="n">
        <f aca="false">J208*(1-I208)</f>
        <v>50</v>
      </c>
    </row>
    <row r="209" customFormat="false" ht="15" hidden="false" customHeight="false" outlineLevel="0" collapsed="false">
      <c r="A209" s="11" t="n">
        <v>208</v>
      </c>
      <c r="B209" s="15" t="n">
        <v>45740</v>
      </c>
      <c r="C209" s="11" t="n">
        <v>2</v>
      </c>
      <c r="D209" s="11" t="n">
        <v>4</v>
      </c>
      <c r="E209" s="11" t="n">
        <v>27</v>
      </c>
      <c r="F209" s="11" t="n">
        <v>8</v>
      </c>
      <c r="G209" s="11" t="n">
        <v>2</v>
      </c>
      <c r="H209" s="13" t="n">
        <v>52</v>
      </c>
      <c r="I209" s="16" t="n">
        <v>0</v>
      </c>
      <c r="J209" s="13" t="n">
        <f aca="false">G209*H209</f>
        <v>104</v>
      </c>
      <c r="K209" s="13" t="n">
        <f aca="false">J209*(1-I209)</f>
        <v>104</v>
      </c>
    </row>
    <row r="210" customFormat="false" ht="15" hidden="false" customHeight="false" outlineLevel="0" collapsed="false">
      <c r="A210" s="11" t="n">
        <v>209</v>
      </c>
      <c r="B210" s="15" t="n">
        <v>45741</v>
      </c>
      <c r="C210" s="11" t="n">
        <v>4</v>
      </c>
      <c r="D210" s="11" t="n">
        <v>9</v>
      </c>
      <c r="E210" s="11" t="n">
        <v>41</v>
      </c>
      <c r="F210" s="11" t="n">
        <v>6</v>
      </c>
      <c r="G210" s="11" t="n">
        <v>3</v>
      </c>
      <c r="H210" s="13" t="n">
        <v>62</v>
      </c>
      <c r="I210" s="16" t="n">
        <v>0</v>
      </c>
      <c r="J210" s="13" t="n">
        <f aca="false">G210*H210</f>
        <v>186</v>
      </c>
      <c r="K210" s="13" t="n">
        <f aca="false">J210*(1-I210)</f>
        <v>186</v>
      </c>
    </row>
    <row r="211" customFormat="false" ht="15" hidden="false" customHeight="false" outlineLevel="0" collapsed="false">
      <c r="A211" s="11" t="n">
        <v>210</v>
      </c>
      <c r="B211" s="15" t="n">
        <v>45741</v>
      </c>
      <c r="C211" s="11" t="n">
        <v>3</v>
      </c>
      <c r="D211" s="11" t="n">
        <v>6</v>
      </c>
      <c r="E211" s="11" t="n">
        <v>9</v>
      </c>
      <c r="F211" s="11" t="n">
        <v>14</v>
      </c>
      <c r="G211" s="11" t="n">
        <v>1</v>
      </c>
      <c r="H211" s="13" t="n">
        <v>38</v>
      </c>
      <c r="I211" s="16" t="n">
        <v>0</v>
      </c>
      <c r="J211" s="13" t="n">
        <f aca="false">G211*H211</f>
        <v>38</v>
      </c>
      <c r="K211" s="13" t="n">
        <f aca="false">J211*(1-I211)</f>
        <v>38</v>
      </c>
    </row>
    <row r="212" customFormat="false" ht="15" hidden="false" customHeight="false" outlineLevel="0" collapsed="false">
      <c r="A212" s="11" t="n">
        <v>211</v>
      </c>
      <c r="B212" s="15" t="n">
        <v>45741</v>
      </c>
      <c r="C212" s="11" t="n">
        <v>2</v>
      </c>
      <c r="D212" s="11" t="n">
        <v>4</v>
      </c>
      <c r="E212" s="11" t="n">
        <v>10</v>
      </c>
      <c r="F212" s="11" t="n">
        <v>14</v>
      </c>
      <c r="G212" s="11" t="n">
        <v>3</v>
      </c>
      <c r="H212" s="13" t="n">
        <v>38</v>
      </c>
      <c r="I212" s="16" t="n">
        <v>0</v>
      </c>
      <c r="J212" s="13" t="n">
        <f aca="false">G212*H212</f>
        <v>114</v>
      </c>
      <c r="K212" s="13" t="n">
        <f aca="false">J212*(1-I212)</f>
        <v>114</v>
      </c>
    </row>
    <row r="213" customFormat="false" ht="15" hidden="false" customHeight="false" outlineLevel="0" collapsed="false">
      <c r="A213" s="11" t="n">
        <v>212</v>
      </c>
      <c r="B213" s="15" t="n">
        <v>45742</v>
      </c>
      <c r="C213" s="11" t="n">
        <v>4</v>
      </c>
      <c r="D213" s="11" t="n">
        <v>9</v>
      </c>
      <c r="E213" s="11" t="n">
        <v>2</v>
      </c>
      <c r="F213" s="11" t="n">
        <v>6</v>
      </c>
      <c r="G213" s="11" t="n">
        <v>2</v>
      </c>
      <c r="H213" s="13" t="n">
        <v>62</v>
      </c>
      <c r="I213" s="16" t="n">
        <v>0</v>
      </c>
      <c r="J213" s="13" t="n">
        <f aca="false">G213*H213</f>
        <v>124</v>
      </c>
      <c r="K213" s="13" t="n">
        <f aca="false">J213*(1-I213)</f>
        <v>124</v>
      </c>
    </row>
    <row r="214" customFormat="false" ht="15" hidden="false" customHeight="false" outlineLevel="0" collapsed="false">
      <c r="A214" s="11" t="n">
        <v>213</v>
      </c>
      <c r="B214" s="15" t="n">
        <v>45742</v>
      </c>
      <c r="C214" s="11" t="n">
        <v>1</v>
      </c>
      <c r="D214" s="11" t="n">
        <v>3</v>
      </c>
      <c r="E214" s="11" t="n">
        <v>8</v>
      </c>
      <c r="F214" s="11" t="n">
        <v>3</v>
      </c>
      <c r="G214" s="11" t="n">
        <v>3</v>
      </c>
      <c r="H214" s="13" t="n">
        <v>38</v>
      </c>
      <c r="I214" s="16" t="n">
        <v>0</v>
      </c>
      <c r="J214" s="13" t="n">
        <f aca="false">G214*H214</f>
        <v>114</v>
      </c>
      <c r="K214" s="13" t="n">
        <f aca="false">J214*(1-I214)</f>
        <v>114</v>
      </c>
    </row>
    <row r="215" customFormat="false" ht="15" hidden="false" customHeight="false" outlineLevel="0" collapsed="false">
      <c r="A215" s="11" t="n">
        <v>214</v>
      </c>
      <c r="B215" s="15" t="n">
        <v>45743</v>
      </c>
      <c r="C215" s="11" t="n">
        <v>4</v>
      </c>
      <c r="D215" s="11" t="n">
        <v>8</v>
      </c>
      <c r="E215" s="11" t="n">
        <v>47</v>
      </c>
      <c r="F215" s="11" t="n">
        <v>15</v>
      </c>
      <c r="G215" s="11" t="n">
        <v>1</v>
      </c>
      <c r="H215" s="13" t="n">
        <v>65</v>
      </c>
      <c r="I215" s="16" t="n">
        <v>0</v>
      </c>
      <c r="J215" s="13" t="n">
        <f aca="false">G215*H215</f>
        <v>65</v>
      </c>
      <c r="K215" s="13" t="n">
        <f aca="false">J215*(1-I215)</f>
        <v>65</v>
      </c>
    </row>
    <row r="216" customFormat="false" ht="15" hidden="false" customHeight="false" outlineLevel="0" collapsed="false">
      <c r="A216" s="11" t="n">
        <v>215</v>
      </c>
      <c r="B216" s="15" t="n">
        <v>45743</v>
      </c>
      <c r="C216" s="11" t="n">
        <v>4</v>
      </c>
      <c r="D216" s="11" t="n">
        <v>9</v>
      </c>
      <c r="E216" s="11" t="n">
        <v>60</v>
      </c>
      <c r="F216" s="11" t="n">
        <v>3</v>
      </c>
      <c r="G216" s="11" t="n">
        <v>1</v>
      </c>
      <c r="H216" s="13" t="n">
        <v>38</v>
      </c>
      <c r="I216" s="16" t="n">
        <v>0</v>
      </c>
      <c r="J216" s="13" t="n">
        <f aca="false">G216*H216</f>
        <v>38</v>
      </c>
      <c r="K216" s="13" t="n">
        <f aca="false">J216*(1-I216)</f>
        <v>38</v>
      </c>
    </row>
    <row r="217" customFormat="false" ht="15" hidden="false" customHeight="false" outlineLevel="0" collapsed="false">
      <c r="A217" s="11" t="n">
        <v>216</v>
      </c>
      <c r="B217" s="15" t="n">
        <v>45743</v>
      </c>
      <c r="C217" s="11" t="n">
        <v>1</v>
      </c>
      <c r="D217" s="11" t="n">
        <v>2</v>
      </c>
      <c r="E217" s="11" t="n">
        <v>54</v>
      </c>
      <c r="F217" s="11" t="n">
        <v>1</v>
      </c>
      <c r="G217" s="11" t="n">
        <v>1</v>
      </c>
      <c r="H217" s="13" t="n">
        <v>35</v>
      </c>
      <c r="I217" s="16" t="n">
        <v>0</v>
      </c>
      <c r="J217" s="13" t="n">
        <f aca="false">G217*H217</f>
        <v>35</v>
      </c>
      <c r="K217" s="13" t="n">
        <f aca="false">J217*(1-I217)</f>
        <v>35</v>
      </c>
    </row>
    <row r="218" customFormat="false" ht="15" hidden="false" customHeight="false" outlineLevel="0" collapsed="false">
      <c r="A218" s="11" t="n">
        <v>217</v>
      </c>
      <c r="B218" s="15" t="n">
        <v>45743</v>
      </c>
      <c r="C218" s="11" t="n">
        <v>1</v>
      </c>
      <c r="D218" s="11" t="n">
        <v>1</v>
      </c>
      <c r="E218" s="11" t="n">
        <v>55</v>
      </c>
      <c r="F218" s="11" t="n">
        <v>1</v>
      </c>
      <c r="G218" s="11" t="n">
        <v>1</v>
      </c>
      <c r="H218" s="13" t="n">
        <v>35</v>
      </c>
      <c r="I218" s="16" t="n">
        <v>0</v>
      </c>
      <c r="J218" s="13" t="n">
        <f aca="false">G218*H218</f>
        <v>35</v>
      </c>
      <c r="K218" s="13" t="n">
        <f aca="false">J218*(1-I218)</f>
        <v>35</v>
      </c>
    </row>
    <row r="219" customFormat="false" ht="15" hidden="false" customHeight="false" outlineLevel="0" collapsed="false">
      <c r="A219" s="11" t="n">
        <v>218</v>
      </c>
      <c r="B219" s="15" t="n">
        <v>45744</v>
      </c>
      <c r="C219" s="11" t="n">
        <v>4</v>
      </c>
      <c r="D219" s="11" t="n">
        <v>8</v>
      </c>
      <c r="E219" s="11" t="n">
        <v>5</v>
      </c>
      <c r="F219" s="11" t="n">
        <v>16</v>
      </c>
      <c r="G219" s="11" t="n">
        <v>2</v>
      </c>
      <c r="H219" s="13" t="n">
        <v>45</v>
      </c>
      <c r="I219" s="16" t="n">
        <v>0</v>
      </c>
      <c r="J219" s="13" t="n">
        <f aca="false">G219*H219</f>
        <v>90</v>
      </c>
      <c r="K219" s="13" t="n">
        <f aca="false">J219*(1-I219)</f>
        <v>90</v>
      </c>
    </row>
    <row r="220" customFormat="false" ht="15" hidden="false" customHeight="false" outlineLevel="0" collapsed="false">
      <c r="A220" s="11" t="n">
        <v>219</v>
      </c>
      <c r="B220" s="15" t="n">
        <v>45744</v>
      </c>
      <c r="C220" s="11" t="n">
        <v>3</v>
      </c>
      <c r="D220" s="11" t="n">
        <v>6</v>
      </c>
      <c r="E220" s="11" t="n">
        <v>44</v>
      </c>
      <c r="F220" s="11" t="n">
        <v>7</v>
      </c>
      <c r="G220" s="11" t="n">
        <v>2</v>
      </c>
      <c r="H220" s="13" t="n">
        <v>50</v>
      </c>
      <c r="I220" s="16" t="n">
        <v>0</v>
      </c>
      <c r="J220" s="13" t="n">
        <f aca="false">G220*H220</f>
        <v>100</v>
      </c>
      <c r="K220" s="13" t="n">
        <f aca="false">J220*(1-I220)</f>
        <v>100</v>
      </c>
    </row>
    <row r="221" customFormat="false" ht="15" hidden="false" customHeight="false" outlineLevel="0" collapsed="false">
      <c r="A221" s="11" t="n">
        <v>220</v>
      </c>
      <c r="B221" s="15" t="n">
        <v>45744</v>
      </c>
      <c r="C221" s="11" t="n">
        <v>4</v>
      </c>
      <c r="D221" s="11" t="n">
        <v>8</v>
      </c>
      <c r="E221" s="11" t="n">
        <v>29</v>
      </c>
      <c r="F221" s="11" t="n">
        <v>6</v>
      </c>
      <c r="G221" s="11" t="n">
        <v>1</v>
      </c>
      <c r="H221" s="13" t="n">
        <v>62</v>
      </c>
      <c r="I221" s="16" t="n">
        <v>0</v>
      </c>
      <c r="J221" s="13" t="n">
        <f aca="false">G221*H221</f>
        <v>62</v>
      </c>
      <c r="K221" s="13" t="n">
        <f aca="false">J221*(1-I221)</f>
        <v>62</v>
      </c>
    </row>
    <row r="222" customFormat="false" ht="15" hidden="false" customHeight="false" outlineLevel="0" collapsed="false">
      <c r="A222" s="11" t="n">
        <v>221</v>
      </c>
      <c r="B222" s="15" t="n">
        <v>45744</v>
      </c>
      <c r="C222" s="11" t="n">
        <v>1</v>
      </c>
      <c r="D222" s="11" t="n">
        <v>3</v>
      </c>
      <c r="E222" s="11" t="n">
        <v>16</v>
      </c>
      <c r="F222" s="11" t="n">
        <v>9</v>
      </c>
      <c r="G222" s="11" t="n">
        <v>4</v>
      </c>
      <c r="H222" s="13" t="n">
        <v>40</v>
      </c>
      <c r="I222" s="16" t="n">
        <v>0</v>
      </c>
      <c r="J222" s="13" t="n">
        <f aca="false">G222*H222</f>
        <v>160</v>
      </c>
      <c r="K222" s="13" t="n">
        <f aca="false">J222*(1-I222)</f>
        <v>160</v>
      </c>
    </row>
    <row r="223" customFormat="false" ht="15" hidden="false" customHeight="false" outlineLevel="0" collapsed="false">
      <c r="A223" s="11" t="n">
        <v>222</v>
      </c>
      <c r="B223" s="15" t="n">
        <v>45744</v>
      </c>
      <c r="C223" s="11" t="n">
        <v>4</v>
      </c>
      <c r="D223" s="11" t="n">
        <v>9</v>
      </c>
      <c r="E223" s="11" t="n">
        <v>1</v>
      </c>
      <c r="F223" s="11" t="n">
        <v>10</v>
      </c>
      <c r="G223" s="11" t="n">
        <v>1</v>
      </c>
      <c r="H223" s="13" t="n">
        <v>70</v>
      </c>
      <c r="I223" s="16" t="n">
        <v>0</v>
      </c>
      <c r="J223" s="13" t="n">
        <f aca="false">G223*H223</f>
        <v>70</v>
      </c>
      <c r="K223" s="13" t="n">
        <f aca="false">J223*(1-I223)</f>
        <v>70</v>
      </c>
    </row>
    <row r="224" customFormat="false" ht="15" hidden="false" customHeight="false" outlineLevel="0" collapsed="false">
      <c r="A224" s="11" t="n">
        <v>223</v>
      </c>
      <c r="B224" s="15" t="n">
        <v>45746</v>
      </c>
      <c r="C224" s="11" t="n">
        <v>3</v>
      </c>
      <c r="D224" s="11" t="n">
        <v>6</v>
      </c>
      <c r="E224" s="11" t="n">
        <v>26</v>
      </c>
      <c r="F224" s="11" t="n">
        <v>20</v>
      </c>
      <c r="G224" s="11" t="n">
        <v>2</v>
      </c>
      <c r="H224" s="13" t="n">
        <v>88</v>
      </c>
      <c r="I224" s="16" t="n">
        <v>0</v>
      </c>
      <c r="J224" s="13" t="n">
        <f aca="false">G224*H224</f>
        <v>176</v>
      </c>
      <c r="K224" s="13" t="n">
        <f aca="false">J224*(1-I224)</f>
        <v>176</v>
      </c>
    </row>
    <row r="225" customFormat="false" ht="15" hidden="false" customHeight="false" outlineLevel="0" collapsed="false">
      <c r="A225" s="11" t="n">
        <v>224</v>
      </c>
      <c r="B225" s="15" t="n">
        <v>45746</v>
      </c>
      <c r="C225" s="11" t="n">
        <v>5</v>
      </c>
      <c r="D225" s="11" t="n">
        <v>10</v>
      </c>
      <c r="E225" s="11" t="n">
        <v>36</v>
      </c>
      <c r="F225" s="11" t="n">
        <v>14</v>
      </c>
      <c r="G225" s="11" t="n">
        <v>1</v>
      </c>
      <c r="H225" s="13" t="n">
        <v>38</v>
      </c>
      <c r="I225" s="16" t="n">
        <v>0</v>
      </c>
      <c r="J225" s="13" t="n">
        <f aca="false">G225*H225</f>
        <v>38</v>
      </c>
      <c r="K225" s="13" t="n">
        <f aca="false">J225*(1-I225)</f>
        <v>38</v>
      </c>
    </row>
    <row r="226" customFormat="false" ht="15" hidden="false" customHeight="false" outlineLevel="0" collapsed="false">
      <c r="A226" s="11" t="n">
        <v>225</v>
      </c>
      <c r="B226" s="15" t="n">
        <v>45747</v>
      </c>
      <c r="C226" s="11" t="n">
        <v>3</v>
      </c>
      <c r="D226" s="11" t="n">
        <v>7</v>
      </c>
      <c r="E226" s="11" t="n">
        <v>6</v>
      </c>
      <c r="F226" s="11" t="n">
        <v>14</v>
      </c>
      <c r="G226" s="11" t="n">
        <v>3</v>
      </c>
      <c r="H226" s="13" t="n">
        <v>38</v>
      </c>
      <c r="I226" s="16" t="n">
        <v>0</v>
      </c>
      <c r="J226" s="13" t="n">
        <f aca="false">G226*H226</f>
        <v>114</v>
      </c>
      <c r="K226" s="13" t="n">
        <f aca="false">J226*(1-I226)</f>
        <v>114</v>
      </c>
    </row>
    <row r="227" customFormat="false" ht="15" hidden="false" customHeight="false" outlineLevel="0" collapsed="false">
      <c r="A227" s="11" t="n">
        <v>226</v>
      </c>
      <c r="B227" s="15" t="n">
        <v>45747</v>
      </c>
      <c r="C227" s="11" t="n">
        <v>5</v>
      </c>
      <c r="D227" s="11" t="n">
        <v>10</v>
      </c>
      <c r="E227" s="11" t="n">
        <v>11</v>
      </c>
      <c r="F227" s="11" t="n">
        <v>9</v>
      </c>
      <c r="G227" s="11" t="n">
        <v>1</v>
      </c>
      <c r="H227" s="13" t="n">
        <v>40</v>
      </c>
      <c r="I227" s="16" t="n">
        <v>0</v>
      </c>
      <c r="J227" s="13" t="n">
        <f aca="false">G227*H227</f>
        <v>40</v>
      </c>
      <c r="K227" s="13" t="n">
        <f aca="false">J227*(1-I227)</f>
        <v>40</v>
      </c>
    </row>
    <row r="228" customFormat="false" ht="15" hidden="false" customHeight="false" outlineLevel="0" collapsed="false">
      <c r="A228" s="11" t="n">
        <v>227</v>
      </c>
      <c r="B228" s="15" t="n">
        <v>45748</v>
      </c>
      <c r="C228" s="11" t="n">
        <v>3</v>
      </c>
      <c r="D228" s="11" t="n">
        <v>6</v>
      </c>
      <c r="E228" s="11" t="n">
        <v>9</v>
      </c>
      <c r="F228" s="11" t="n">
        <v>16</v>
      </c>
      <c r="G228" s="11" t="n">
        <v>2</v>
      </c>
      <c r="H228" s="13" t="n">
        <v>45</v>
      </c>
      <c r="I228" s="16" t="n">
        <v>0</v>
      </c>
      <c r="J228" s="13" t="n">
        <f aca="false">G228*H228</f>
        <v>90</v>
      </c>
      <c r="K228" s="13" t="n">
        <f aca="false">J228*(1-I228)</f>
        <v>90</v>
      </c>
    </row>
    <row r="229" customFormat="false" ht="15" hidden="false" customHeight="false" outlineLevel="0" collapsed="false">
      <c r="A229" s="11" t="n">
        <v>228</v>
      </c>
      <c r="B229" s="15" t="n">
        <v>45749</v>
      </c>
      <c r="C229" s="11" t="n">
        <v>3</v>
      </c>
      <c r="D229" s="11" t="n">
        <v>7</v>
      </c>
      <c r="E229" s="11" t="n">
        <v>39</v>
      </c>
      <c r="F229" s="11" t="n">
        <v>18</v>
      </c>
      <c r="G229" s="11" t="n">
        <v>1</v>
      </c>
      <c r="H229" s="13" t="n">
        <v>95</v>
      </c>
      <c r="I229" s="16" t="n">
        <v>0.15</v>
      </c>
      <c r="J229" s="13" t="n">
        <f aca="false">G229*H229</f>
        <v>95</v>
      </c>
      <c r="K229" s="13" t="n">
        <f aca="false">J229*(1-I229)</f>
        <v>80.75</v>
      </c>
    </row>
    <row r="230" customFormat="false" ht="15" hidden="false" customHeight="false" outlineLevel="0" collapsed="false">
      <c r="A230" s="11" t="n">
        <v>229</v>
      </c>
      <c r="B230" s="15" t="n">
        <v>45749</v>
      </c>
      <c r="C230" s="11" t="n">
        <v>4</v>
      </c>
      <c r="D230" s="11" t="n">
        <v>9</v>
      </c>
      <c r="E230" s="11" t="n">
        <v>43</v>
      </c>
      <c r="F230" s="11" t="n">
        <v>11</v>
      </c>
      <c r="G230" s="11" t="n">
        <v>2</v>
      </c>
      <c r="H230" s="13" t="n">
        <v>72</v>
      </c>
      <c r="I230" s="16" t="n">
        <v>0</v>
      </c>
      <c r="J230" s="13" t="n">
        <f aca="false">G230*H230</f>
        <v>144</v>
      </c>
      <c r="K230" s="13" t="n">
        <f aca="false">J230*(1-I230)</f>
        <v>144</v>
      </c>
    </row>
    <row r="231" customFormat="false" ht="15" hidden="false" customHeight="false" outlineLevel="0" collapsed="false">
      <c r="A231" s="11" t="n">
        <v>230</v>
      </c>
      <c r="B231" s="15" t="n">
        <v>45749</v>
      </c>
      <c r="C231" s="11" t="n">
        <v>3</v>
      </c>
      <c r="D231" s="11" t="n">
        <v>6</v>
      </c>
      <c r="E231" s="11" t="n">
        <v>46</v>
      </c>
      <c r="F231" s="11" t="n">
        <v>15</v>
      </c>
      <c r="G231" s="11" t="n">
        <v>1</v>
      </c>
      <c r="H231" s="13" t="n">
        <v>65</v>
      </c>
      <c r="I231" s="16" t="n">
        <v>0.15</v>
      </c>
      <c r="J231" s="13" t="n">
        <f aca="false">G231*H231</f>
        <v>65</v>
      </c>
      <c r="K231" s="13" t="n">
        <f aca="false">J231*(1-I231)</f>
        <v>55.25</v>
      </c>
    </row>
    <row r="232" customFormat="false" ht="15" hidden="false" customHeight="false" outlineLevel="0" collapsed="false">
      <c r="A232" s="11" t="n">
        <v>231</v>
      </c>
      <c r="B232" s="15" t="n">
        <v>45750</v>
      </c>
      <c r="C232" s="11" t="n">
        <v>4</v>
      </c>
      <c r="D232" s="11" t="n">
        <v>8</v>
      </c>
      <c r="E232" s="11" t="n">
        <v>11</v>
      </c>
      <c r="F232" s="11" t="n">
        <v>17</v>
      </c>
      <c r="G232" s="11" t="n">
        <v>1</v>
      </c>
      <c r="H232" s="13" t="n">
        <v>28</v>
      </c>
      <c r="I232" s="16" t="n">
        <v>0.05</v>
      </c>
      <c r="J232" s="13" t="n">
        <f aca="false">G232*H232</f>
        <v>28</v>
      </c>
      <c r="K232" s="13" t="n">
        <f aca="false">J232*(1-I232)</f>
        <v>26.6</v>
      </c>
    </row>
    <row r="233" customFormat="false" ht="15" hidden="false" customHeight="false" outlineLevel="0" collapsed="false">
      <c r="A233" s="11" t="n">
        <v>232</v>
      </c>
      <c r="B233" s="15" t="n">
        <v>45751</v>
      </c>
      <c r="C233" s="11" t="n">
        <v>5</v>
      </c>
      <c r="D233" s="11" t="n">
        <v>10</v>
      </c>
      <c r="E233" s="11" t="n">
        <v>56</v>
      </c>
      <c r="F233" s="11" t="n">
        <v>17</v>
      </c>
      <c r="G233" s="11" t="n">
        <v>3</v>
      </c>
      <c r="H233" s="13" t="n">
        <v>28</v>
      </c>
      <c r="I233" s="16" t="n">
        <v>0</v>
      </c>
      <c r="J233" s="13" t="n">
        <f aca="false">G233*H233</f>
        <v>84</v>
      </c>
      <c r="K233" s="13" t="n">
        <f aca="false">J233*(1-I233)</f>
        <v>84</v>
      </c>
    </row>
    <row r="234" customFormat="false" ht="15" hidden="false" customHeight="false" outlineLevel="0" collapsed="false">
      <c r="A234" s="11" t="n">
        <v>233</v>
      </c>
      <c r="B234" s="15" t="n">
        <v>45751</v>
      </c>
      <c r="C234" s="11" t="n">
        <v>1</v>
      </c>
      <c r="D234" s="11" t="n">
        <v>1</v>
      </c>
      <c r="E234" s="11" t="n">
        <v>32</v>
      </c>
      <c r="F234" s="11" t="n">
        <v>17</v>
      </c>
      <c r="G234" s="11" t="n">
        <v>1</v>
      </c>
      <c r="H234" s="13" t="n">
        <v>28</v>
      </c>
      <c r="I234" s="16" t="n">
        <v>0</v>
      </c>
      <c r="J234" s="13" t="n">
        <f aca="false">G234*H234</f>
        <v>28</v>
      </c>
      <c r="K234" s="13" t="n">
        <f aca="false">J234*(1-I234)</f>
        <v>28</v>
      </c>
    </row>
    <row r="235" customFormat="false" ht="15" hidden="false" customHeight="false" outlineLevel="0" collapsed="false">
      <c r="A235" s="11" t="n">
        <v>234</v>
      </c>
      <c r="B235" s="15" t="n">
        <v>45751</v>
      </c>
      <c r="C235" s="11" t="n">
        <v>2</v>
      </c>
      <c r="D235" s="11" t="n">
        <v>4</v>
      </c>
      <c r="E235" s="11" t="n">
        <v>1</v>
      </c>
      <c r="F235" s="11" t="n">
        <v>13</v>
      </c>
      <c r="G235" s="11" t="n">
        <v>2</v>
      </c>
      <c r="H235" s="13" t="n">
        <v>32</v>
      </c>
      <c r="I235" s="16" t="n">
        <v>0</v>
      </c>
      <c r="J235" s="13" t="n">
        <f aca="false">G235*H235</f>
        <v>64</v>
      </c>
      <c r="K235" s="13" t="n">
        <f aca="false">J235*(1-I235)</f>
        <v>64</v>
      </c>
    </row>
    <row r="236" customFormat="false" ht="15" hidden="false" customHeight="false" outlineLevel="0" collapsed="false">
      <c r="A236" s="11" t="n">
        <v>235</v>
      </c>
      <c r="B236" s="15" t="n">
        <v>45752</v>
      </c>
      <c r="C236" s="11" t="n">
        <v>4</v>
      </c>
      <c r="D236" s="11" t="n">
        <v>9</v>
      </c>
      <c r="E236" s="11" t="n">
        <v>21</v>
      </c>
      <c r="F236" s="11" t="n">
        <v>4</v>
      </c>
      <c r="G236" s="11" t="n">
        <v>1</v>
      </c>
      <c r="H236" s="13" t="n">
        <v>55</v>
      </c>
      <c r="I236" s="16" t="n">
        <v>0</v>
      </c>
      <c r="J236" s="13" t="n">
        <f aca="false">G236*H236</f>
        <v>55</v>
      </c>
      <c r="K236" s="13" t="n">
        <f aca="false">J236*(1-I236)</f>
        <v>55</v>
      </c>
    </row>
    <row r="237" customFormat="false" ht="15" hidden="false" customHeight="false" outlineLevel="0" collapsed="false">
      <c r="A237" s="11" t="n">
        <v>236</v>
      </c>
      <c r="B237" s="15" t="n">
        <v>45752</v>
      </c>
      <c r="C237" s="11" t="n">
        <v>1</v>
      </c>
      <c r="D237" s="11" t="n">
        <v>2</v>
      </c>
      <c r="E237" s="11" t="n">
        <v>55</v>
      </c>
      <c r="F237" s="11" t="n">
        <v>4</v>
      </c>
      <c r="G237" s="11" t="n">
        <v>1</v>
      </c>
      <c r="H237" s="13" t="n">
        <v>55</v>
      </c>
      <c r="I237" s="16" t="n">
        <v>0</v>
      </c>
      <c r="J237" s="13" t="n">
        <f aca="false">G237*H237</f>
        <v>55</v>
      </c>
      <c r="K237" s="13" t="n">
        <f aca="false">J237*(1-I237)</f>
        <v>55</v>
      </c>
    </row>
    <row r="238" customFormat="false" ht="15" hidden="false" customHeight="false" outlineLevel="0" collapsed="false">
      <c r="A238" s="11" t="n">
        <v>237</v>
      </c>
      <c r="B238" s="15" t="n">
        <v>45752</v>
      </c>
      <c r="C238" s="11" t="n">
        <v>3</v>
      </c>
      <c r="D238" s="11" t="n">
        <v>7</v>
      </c>
      <c r="E238" s="11" t="n">
        <v>8</v>
      </c>
      <c r="F238" s="11" t="n">
        <v>10</v>
      </c>
      <c r="G238" s="11" t="n">
        <v>1</v>
      </c>
      <c r="H238" s="13" t="n">
        <v>70</v>
      </c>
      <c r="I238" s="16" t="n">
        <v>0</v>
      </c>
      <c r="J238" s="13" t="n">
        <f aca="false">G238*H238</f>
        <v>70</v>
      </c>
      <c r="K238" s="13" t="n">
        <f aca="false">J238*(1-I238)</f>
        <v>70</v>
      </c>
    </row>
    <row r="239" customFormat="false" ht="15" hidden="false" customHeight="false" outlineLevel="0" collapsed="false">
      <c r="A239" s="11" t="n">
        <v>238</v>
      </c>
      <c r="B239" s="15" t="n">
        <v>45752</v>
      </c>
      <c r="C239" s="11" t="n">
        <v>4</v>
      </c>
      <c r="D239" s="11" t="n">
        <v>9</v>
      </c>
      <c r="E239" s="11" t="n">
        <v>12</v>
      </c>
      <c r="F239" s="11" t="n">
        <v>15</v>
      </c>
      <c r="G239" s="11" t="n">
        <v>5</v>
      </c>
      <c r="H239" s="13" t="n">
        <v>65</v>
      </c>
      <c r="I239" s="16" t="n">
        <v>0.05</v>
      </c>
      <c r="J239" s="13" t="n">
        <f aca="false">G239*H239</f>
        <v>325</v>
      </c>
      <c r="K239" s="13" t="n">
        <f aca="false">J239*(1-I239)</f>
        <v>308.75</v>
      </c>
    </row>
    <row r="240" customFormat="false" ht="15" hidden="false" customHeight="false" outlineLevel="0" collapsed="false">
      <c r="A240" s="11" t="n">
        <v>239</v>
      </c>
      <c r="B240" s="15" t="n">
        <v>45752</v>
      </c>
      <c r="C240" s="11" t="n">
        <v>1</v>
      </c>
      <c r="D240" s="11" t="n">
        <v>2</v>
      </c>
      <c r="E240" s="11" t="n">
        <v>2</v>
      </c>
      <c r="F240" s="11" t="n">
        <v>12</v>
      </c>
      <c r="G240" s="11" t="n">
        <v>2</v>
      </c>
      <c r="H240" s="13" t="n">
        <v>45</v>
      </c>
      <c r="I240" s="16" t="n">
        <v>0</v>
      </c>
      <c r="J240" s="13" t="n">
        <f aca="false">G240*H240</f>
        <v>90</v>
      </c>
      <c r="K240" s="13" t="n">
        <f aca="false">J240*(1-I240)</f>
        <v>90</v>
      </c>
    </row>
    <row r="241" customFormat="false" ht="15" hidden="false" customHeight="false" outlineLevel="0" collapsed="false">
      <c r="A241" s="11" t="n">
        <v>240</v>
      </c>
      <c r="B241" s="15" t="n">
        <v>45752</v>
      </c>
      <c r="C241" s="11" t="n">
        <v>4</v>
      </c>
      <c r="D241" s="11" t="n">
        <v>9</v>
      </c>
      <c r="E241" s="11" t="n">
        <v>5</v>
      </c>
      <c r="F241" s="11" t="n">
        <v>15</v>
      </c>
      <c r="G241" s="11" t="n">
        <v>5</v>
      </c>
      <c r="H241" s="13" t="n">
        <v>65</v>
      </c>
      <c r="I241" s="16" t="n">
        <v>0</v>
      </c>
      <c r="J241" s="13" t="n">
        <f aca="false">G241*H241</f>
        <v>325</v>
      </c>
      <c r="K241" s="13" t="n">
        <f aca="false">J241*(1-I241)</f>
        <v>325</v>
      </c>
    </row>
    <row r="242" customFormat="false" ht="15" hidden="false" customHeight="false" outlineLevel="0" collapsed="false">
      <c r="A242" s="11" t="n">
        <v>241</v>
      </c>
      <c r="B242" s="15" t="n">
        <v>45752</v>
      </c>
      <c r="C242" s="11" t="n">
        <v>2</v>
      </c>
      <c r="D242" s="11" t="n">
        <v>4</v>
      </c>
      <c r="E242" s="11" t="n">
        <v>28</v>
      </c>
      <c r="F242" s="11" t="n">
        <v>5</v>
      </c>
      <c r="G242" s="11" t="n">
        <v>2</v>
      </c>
      <c r="H242" s="13" t="n">
        <v>58</v>
      </c>
      <c r="I242" s="16" t="n">
        <v>0</v>
      </c>
      <c r="J242" s="13" t="n">
        <f aca="false">G242*H242</f>
        <v>116</v>
      </c>
      <c r="K242" s="13" t="n">
        <f aca="false">J242*(1-I242)</f>
        <v>116</v>
      </c>
    </row>
    <row r="243" customFormat="false" ht="15" hidden="false" customHeight="false" outlineLevel="0" collapsed="false">
      <c r="A243" s="11" t="n">
        <v>242</v>
      </c>
      <c r="B243" s="15" t="n">
        <v>45752</v>
      </c>
      <c r="C243" s="11" t="n">
        <v>4</v>
      </c>
      <c r="D243" s="11" t="n">
        <v>8</v>
      </c>
      <c r="E243" s="11" t="n">
        <v>49</v>
      </c>
      <c r="F243" s="11" t="n">
        <v>5</v>
      </c>
      <c r="G243" s="11" t="n">
        <v>2</v>
      </c>
      <c r="H243" s="13" t="n">
        <v>58</v>
      </c>
      <c r="I243" s="16" t="n">
        <v>0</v>
      </c>
      <c r="J243" s="13" t="n">
        <f aca="false">G243*H243</f>
        <v>116</v>
      </c>
      <c r="K243" s="13" t="n">
        <f aca="false">J243*(1-I243)</f>
        <v>116</v>
      </c>
    </row>
    <row r="244" customFormat="false" ht="15" hidden="false" customHeight="false" outlineLevel="0" collapsed="false">
      <c r="A244" s="11" t="n">
        <v>243</v>
      </c>
      <c r="B244" s="15" t="n">
        <v>45752</v>
      </c>
      <c r="C244" s="11" t="n">
        <v>4</v>
      </c>
      <c r="D244" s="11" t="n">
        <v>8</v>
      </c>
      <c r="E244" s="11" t="n">
        <v>9</v>
      </c>
      <c r="F244" s="11" t="n">
        <v>16</v>
      </c>
      <c r="G244" s="11" t="n">
        <v>2</v>
      </c>
      <c r="H244" s="13" t="n">
        <v>45</v>
      </c>
      <c r="I244" s="16" t="n">
        <v>0</v>
      </c>
      <c r="J244" s="13" t="n">
        <f aca="false">G244*H244</f>
        <v>90</v>
      </c>
      <c r="K244" s="13" t="n">
        <f aca="false">J244*(1-I244)</f>
        <v>90</v>
      </c>
    </row>
    <row r="245" customFormat="false" ht="15" hidden="false" customHeight="false" outlineLevel="0" collapsed="false">
      <c r="A245" s="11" t="n">
        <v>244</v>
      </c>
      <c r="B245" s="15" t="n">
        <v>45754</v>
      </c>
      <c r="C245" s="11" t="n">
        <v>2</v>
      </c>
      <c r="D245" s="11" t="n">
        <v>5</v>
      </c>
      <c r="E245" s="11" t="n">
        <v>43</v>
      </c>
      <c r="F245" s="11" t="n">
        <v>10</v>
      </c>
      <c r="G245" s="11" t="n">
        <v>1</v>
      </c>
      <c r="H245" s="13" t="n">
        <v>70</v>
      </c>
      <c r="I245" s="16" t="n">
        <v>0</v>
      </c>
      <c r="J245" s="13" t="n">
        <f aca="false">G245*H245</f>
        <v>70</v>
      </c>
      <c r="K245" s="13" t="n">
        <f aca="false">J245*(1-I245)</f>
        <v>70</v>
      </c>
    </row>
    <row r="246" customFormat="false" ht="15" hidden="false" customHeight="false" outlineLevel="0" collapsed="false">
      <c r="A246" s="11" t="n">
        <v>245</v>
      </c>
      <c r="B246" s="15" t="n">
        <v>45754</v>
      </c>
      <c r="C246" s="11" t="n">
        <v>3</v>
      </c>
      <c r="D246" s="11" t="n">
        <v>6</v>
      </c>
      <c r="E246" s="11" t="n">
        <v>37</v>
      </c>
      <c r="F246" s="11" t="n">
        <v>17</v>
      </c>
      <c r="G246" s="11" t="n">
        <v>5</v>
      </c>
      <c r="H246" s="13" t="n">
        <v>28</v>
      </c>
      <c r="I246" s="16" t="n">
        <v>0</v>
      </c>
      <c r="J246" s="13" t="n">
        <f aca="false">G246*H246</f>
        <v>140</v>
      </c>
      <c r="K246" s="13" t="n">
        <f aca="false">J246*(1-I246)</f>
        <v>140</v>
      </c>
    </row>
    <row r="247" customFormat="false" ht="15" hidden="false" customHeight="false" outlineLevel="0" collapsed="false">
      <c r="A247" s="11" t="n">
        <v>246</v>
      </c>
      <c r="B247" s="15" t="n">
        <v>45754</v>
      </c>
      <c r="C247" s="11" t="n">
        <v>1</v>
      </c>
      <c r="D247" s="11" t="n">
        <v>2</v>
      </c>
      <c r="E247" s="11" t="n">
        <v>35</v>
      </c>
      <c r="F247" s="11" t="n">
        <v>11</v>
      </c>
      <c r="G247" s="11" t="n">
        <v>2</v>
      </c>
      <c r="H247" s="13" t="n">
        <v>72</v>
      </c>
      <c r="I247" s="16" t="n">
        <v>0</v>
      </c>
      <c r="J247" s="13" t="n">
        <f aca="false">G247*H247</f>
        <v>144</v>
      </c>
      <c r="K247" s="13" t="n">
        <f aca="false">J247*(1-I247)</f>
        <v>144</v>
      </c>
    </row>
    <row r="248" customFormat="false" ht="15" hidden="false" customHeight="false" outlineLevel="0" collapsed="false">
      <c r="A248" s="11" t="n">
        <v>247</v>
      </c>
      <c r="B248" s="15" t="n">
        <v>45755</v>
      </c>
      <c r="C248" s="11" t="n">
        <v>3</v>
      </c>
      <c r="D248" s="11" t="n">
        <v>6</v>
      </c>
      <c r="E248" s="11" t="n">
        <v>18</v>
      </c>
      <c r="F248" s="11" t="n">
        <v>14</v>
      </c>
      <c r="G248" s="11" t="n">
        <v>1</v>
      </c>
      <c r="H248" s="13" t="n">
        <v>38</v>
      </c>
      <c r="I248" s="16" t="n">
        <v>0.05</v>
      </c>
      <c r="J248" s="13" t="n">
        <f aca="false">G248*H248</f>
        <v>38</v>
      </c>
      <c r="K248" s="13" t="n">
        <f aca="false">J248*(1-I248)</f>
        <v>36.1</v>
      </c>
    </row>
    <row r="249" customFormat="false" ht="15" hidden="false" customHeight="false" outlineLevel="0" collapsed="false">
      <c r="A249" s="11" t="n">
        <v>248</v>
      </c>
      <c r="B249" s="15" t="n">
        <v>45755</v>
      </c>
      <c r="C249" s="11" t="n">
        <v>1</v>
      </c>
      <c r="D249" s="11" t="n">
        <v>1</v>
      </c>
      <c r="E249" s="11" t="n">
        <v>54</v>
      </c>
      <c r="F249" s="11" t="n">
        <v>20</v>
      </c>
      <c r="G249" s="11" t="n">
        <v>1</v>
      </c>
      <c r="H249" s="13" t="n">
        <v>88</v>
      </c>
      <c r="I249" s="16" t="n">
        <v>0</v>
      </c>
      <c r="J249" s="13" t="n">
        <f aca="false">G249*H249</f>
        <v>88</v>
      </c>
      <c r="K249" s="13" t="n">
        <f aca="false">J249*(1-I249)</f>
        <v>88</v>
      </c>
    </row>
    <row r="250" customFormat="false" ht="15" hidden="false" customHeight="false" outlineLevel="0" collapsed="false">
      <c r="A250" s="11" t="n">
        <v>249</v>
      </c>
      <c r="B250" s="15" t="n">
        <v>45755</v>
      </c>
      <c r="C250" s="11" t="n">
        <v>1</v>
      </c>
      <c r="D250" s="11" t="n">
        <v>2</v>
      </c>
      <c r="E250" s="11" t="n">
        <v>42</v>
      </c>
      <c r="F250" s="11" t="n">
        <v>20</v>
      </c>
      <c r="G250" s="11" t="n">
        <v>1</v>
      </c>
      <c r="H250" s="13" t="n">
        <v>88</v>
      </c>
      <c r="I250" s="16" t="n">
        <v>0</v>
      </c>
      <c r="J250" s="13" t="n">
        <f aca="false">G250*H250</f>
        <v>88</v>
      </c>
      <c r="K250" s="13" t="n">
        <f aca="false">J250*(1-I250)</f>
        <v>88</v>
      </c>
    </row>
    <row r="251" customFormat="false" ht="15" hidden="false" customHeight="false" outlineLevel="0" collapsed="false">
      <c r="A251" s="11" t="n">
        <v>250</v>
      </c>
      <c r="B251" s="15" t="n">
        <v>45756</v>
      </c>
      <c r="C251" s="11" t="n">
        <v>4</v>
      </c>
      <c r="D251" s="11" t="n">
        <v>8</v>
      </c>
      <c r="E251" s="11" t="n">
        <v>40</v>
      </c>
      <c r="F251" s="11" t="n">
        <v>10</v>
      </c>
      <c r="G251" s="11" t="n">
        <v>2</v>
      </c>
      <c r="H251" s="13" t="n">
        <v>70</v>
      </c>
      <c r="I251" s="16" t="n">
        <v>0.15</v>
      </c>
      <c r="J251" s="13" t="n">
        <f aca="false">G251*H251</f>
        <v>140</v>
      </c>
      <c r="K251" s="13" t="n">
        <f aca="false">J251*(1-I251)</f>
        <v>119</v>
      </c>
    </row>
    <row r="252" customFormat="false" ht="15" hidden="false" customHeight="false" outlineLevel="0" collapsed="false">
      <c r="A252" s="11" t="n">
        <v>251</v>
      </c>
      <c r="B252" s="15" t="n">
        <v>45756</v>
      </c>
      <c r="C252" s="11" t="n">
        <v>4</v>
      </c>
      <c r="D252" s="11" t="n">
        <v>8</v>
      </c>
      <c r="E252" s="11" t="n">
        <v>37</v>
      </c>
      <c r="F252" s="11" t="n">
        <v>13</v>
      </c>
      <c r="G252" s="11" t="n">
        <v>2</v>
      </c>
      <c r="H252" s="13" t="n">
        <v>32</v>
      </c>
      <c r="I252" s="16" t="n">
        <v>0</v>
      </c>
      <c r="J252" s="13" t="n">
        <f aca="false">G252*H252</f>
        <v>64</v>
      </c>
      <c r="K252" s="13" t="n">
        <f aca="false">J252*(1-I252)</f>
        <v>64</v>
      </c>
    </row>
    <row r="253" customFormat="false" ht="15" hidden="false" customHeight="false" outlineLevel="0" collapsed="false">
      <c r="A253" s="11" t="n">
        <v>252</v>
      </c>
      <c r="B253" s="15" t="n">
        <v>45756</v>
      </c>
      <c r="C253" s="11" t="n">
        <v>4</v>
      </c>
      <c r="D253" s="11" t="n">
        <v>9</v>
      </c>
      <c r="E253" s="11" t="n">
        <v>55</v>
      </c>
      <c r="F253" s="11" t="n">
        <v>18</v>
      </c>
      <c r="G253" s="11" t="n">
        <v>1</v>
      </c>
      <c r="H253" s="13" t="n">
        <v>95</v>
      </c>
      <c r="I253" s="16" t="n">
        <v>0</v>
      </c>
      <c r="J253" s="13" t="n">
        <f aca="false">G253*H253</f>
        <v>95</v>
      </c>
      <c r="K253" s="13" t="n">
        <f aca="false">J253*(1-I253)</f>
        <v>95</v>
      </c>
    </row>
    <row r="254" customFormat="false" ht="15" hidden="false" customHeight="false" outlineLevel="0" collapsed="false">
      <c r="A254" s="11" t="n">
        <v>253</v>
      </c>
      <c r="B254" s="15" t="n">
        <v>45757</v>
      </c>
      <c r="C254" s="11" t="n">
        <v>3</v>
      </c>
      <c r="D254" s="11" t="n">
        <v>7</v>
      </c>
      <c r="E254" s="11" t="n">
        <v>4</v>
      </c>
      <c r="F254" s="11" t="n">
        <v>3</v>
      </c>
      <c r="G254" s="11" t="n">
        <v>1</v>
      </c>
      <c r="H254" s="13" t="n">
        <v>38</v>
      </c>
      <c r="I254" s="16" t="n">
        <v>0</v>
      </c>
      <c r="J254" s="13" t="n">
        <f aca="false">G254*H254</f>
        <v>38</v>
      </c>
      <c r="K254" s="13" t="n">
        <f aca="false">J254*(1-I254)</f>
        <v>38</v>
      </c>
    </row>
    <row r="255" customFormat="false" ht="15" hidden="false" customHeight="false" outlineLevel="0" collapsed="false">
      <c r="A255" s="11" t="n">
        <v>254</v>
      </c>
      <c r="B255" s="15" t="n">
        <v>45757</v>
      </c>
      <c r="C255" s="11" t="n">
        <v>4</v>
      </c>
      <c r="D255" s="11" t="n">
        <v>9</v>
      </c>
      <c r="E255" s="11" t="n">
        <v>38</v>
      </c>
      <c r="F255" s="11" t="n">
        <v>4</v>
      </c>
      <c r="G255" s="11" t="n">
        <v>1</v>
      </c>
      <c r="H255" s="13" t="n">
        <v>55</v>
      </c>
      <c r="I255" s="16" t="n">
        <v>0.15</v>
      </c>
      <c r="J255" s="13" t="n">
        <f aca="false">G255*H255</f>
        <v>55</v>
      </c>
      <c r="K255" s="13" t="n">
        <f aca="false">J255*(1-I255)</f>
        <v>46.75</v>
      </c>
    </row>
    <row r="256" customFormat="false" ht="15" hidden="false" customHeight="false" outlineLevel="0" collapsed="false">
      <c r="A256" s="11" t="n">
        <v>255</v>
      </c>
      <c r="B256" s="15" t="n">
        <v>45757</v>
      </c>
      <c r="C256" s="11" t="n">
        <v>4</v>
      </c>
      <c r="D256" s="11" t="n">
        <v>9</v>
      </c>
      <c r="E256" s="11" t="n">
        <v>7</v>
      </c>
      <c r="F256" s="11" t="n">
        <v>18</v>
      </c>
      <c r="G256" s="11" t="n">
        <v>2</v>
      </c>
      <c r="H256" s="13" t="n">
        <v>95</v>
      </c>
      <c r="I256" s="16" t="n">
        <v>0.1</v>
      </c>
      <c r="J256" s="13" t="n">
        <f aca="false">G256*H256</f>
        <v>190</v>
      </c>
      <c r="K256" s="13" t="n">
        <f aca="false">J256*(1-I256)</f>
        <v>171</v>
      </c>
    </row>
    <row r="257" customFormat="false" ht="15" hidden="false" customHeight="false" outlineLevel="0" collapsed="false">
      <c r="A257" s="11" t="n">
        <v>256</v>
      </c>
      <c r="B257" s="15" t="n">
        <v>45758</v>
      </c>
      <c r="C257" s="11" t="n">
        <v>1</v>
      </c>
      <c r="D257" s="11" t="n">
        <v>3</v>
      </c>
      <c r="E257" s="11" t="n">
        <v>55</v>
      </c>
      <c r="F257" s="11" t="n">
        <v>9</v>
      </c>
      <c r="G257" s="11" t="n">
        <v>1</v>
      </c>
      <c r="H257" s="13" t="n">
        <v>40</v>
      </c>
      <c r="I257" s="16" t="n">
        <v>0</v>
      </c>
      <c r="J257" s="13" t="n">
        <f aca="false">G257*H257</f>
        <v>40</v>
      </c>
      <c r="K257" s="13" t="n">
        <f aca="false">J257*(1-I257)</f>
        <v>40</v>
      </c>
    </row>
    <row r="258" customFormat="false" ht="15" hidden="false" customHeight="false" outlineLevel="0" collapsed="false">
      <c r="A258" s="11" t="n">
        <v>257</v>
      </c>
      <c r="B258" s="15" t="n">
        <v>45758</v>
      </c>
      <c r="C258" s="11" t="n">
        <v>2</v>
      </c>
      <c r="D258" s="11" t="n">
        <v>4</v>
      </c>
      <c r="E258" s="11" t="n">
        <v>48</v>
      </c>
      <c r="F258" s="11" t="n">
        <v>5</v>
      </c>
      <c r="G258" s="11" t="n">
        <v>1</v>
      </c>
      <c r="H258" s="13" t="n">
        <v>58</v>
      </c>
      <c r="I258" s="16" t="n">
        <v>0</v>
      </c>
      <c r="J258" s="13" t="n">
        <f aca="false">G258*H258</f>
        <v>58</v>
      </c>
      <c r="K258" s="13" t="n">
        <f aca="false">J258*(1-I258)</f>
        <v>58</v>
      </c>
    </row>
    <row r="259" customFormat="false" ht="15" hidden="false" customHeight="false" outlineLevel="0" collapsed="false">
      <c r="A259" s="11" t="n">
        <v>258</v>
      </c>
      <c r="B259" s="15" t="n">
        <v>45758</v>
      </c>
      <c r="C259" s="11" t="n">
        <v>3</v>
      </c>
      <c r="D259" s="11" t="n">
        <v>6</v>
      </c>
      <c r="E259" s="11" t="n">
        <v>3</v>
      </c>
      <c r="F259" s="11" t="n">
        <v>5</v>
      </c>
      <c r="G259" s="11" t="n">
        <v>4</v>
      </c>
      <c r="H259" s="13" t="n">
        <v>58</v>
      </c>
      <c r="I259" s="16" t="n">
        <v>0</v>
      </c>
      <c r="J259" s="13" t="n">
        <f aca="false">G259*H259</f>
        <v>232</v>
      </c>
      <c r="K259" s="13" t="n">
        <f aca="false">J259*(1-I259)</f>
        <v>232</v>
      </c>
    </row>
    <row r="260" customFormat="false" ht="15" hidden="false" customHeight="false" outlineLevel="0" collapsed="false">
      <c r="A260" s="11" t="n">
        <v>259</v>
      </c>
      <c r="B260" s="15" t="n">
        <v>45758</v>
      </c>
      <c r="C260" s="11" t="n">
        <v>4</v>
      </c>
      <c r="D260" s="11" t="n">
        <v>8</v>
      </c>
      <c r="E260" s="11" t="n">
        <v>49</v>
      </c>
      <c r="F260" s="11" t="n">
        <v>2</v>
      </c>
      <c r="G260" s="11" t="n">
        <v>5</v>
      </c>
      <c r="H260" s="13" t="n">
        <v>45</v>
      </c>
      <c r="I260" s="16" t="n">
        <v>0.05</v>
      </c>
      <c r="J260" s="13" t="n">
        <f aca="false">G260*H260</f>
        <v>225</v>
      </c>
      <c r="K260" s="13" t="n">
        <f aca="false">J260*(1-I260)</f>
        <v>213.75</v>
      </c>
    </row>
    <row r="261" customFormat="false" ht="15" hidden="false" customHeight="false" outlineLevel="0" collapsed="false">
      <c r="A261" s="11" t="n">
        <v>260</v>
      </c>
      <c r="B261" s="15" t="n">
        <v>45758</v>
      </c>
      <c r="C261" s="11" t="n">
        <v>1</v>
      </c>
      <c r="D261" s="11" t="n">
        <v>3</v>
      </c>
      <c r="E261" s="11" t="n">
        <v>53</v>
      </c>
      <c r="F261" s="11" t="n">
        <v>9</v>
      </c>
      <c r="G261" s="11" t="n">
        <v>1</v>
      </c>
      <c r="H261" s="13" t="n">
        <v>40</v>
      </c>
      <c r="I261" s="16" t="n">
        <v>0</v>
      </c>
      <c r="J261" s="13" t="n">
        <f aca="false">G261*H261</f>
        <v>40</v>
      </c>
      <c r="K261" s="13" t="n">
        <f aca="false">J261*(1-I261)</f>
        <v>40</v>
      </c>
    </row>
    <row r="262" customFormat="false" ht="15" hidden="false" customHeight="false" outlineLevel="0" collapsed="false">
      <c r="A262" s="11" t="n">
        <v>261</v>
      </c>
      <c r="B262" s="15" t="n">
        <v>45759</v>
      </c>
      <c r="C262" s="11" t="n">
        <v>1</v>
      </c>
      <c r="D262" s="11" t="n">
        <v>3</v>
      </c>
      <c r="E262" s="11" t="n">
        <v>5</v>
      </c>
      <c r="F262" s="11" t="n">
        <v>1</v>
      </c>
      <c r="G262" s="11" t="n">
        <v>4</v>
      </c>
      <c r="H262" s="13" t="n">
        <v>35</v>
      </c>
      <c r="I262" s="16" t="n">
        <v>0</v>
      </c>
      <c r="J262" s="13" t="n">
        <f aca="false">G262*H262</f>
        <v>140</v>
      </c>
      <c r="K262" s="13" t="n">
        <f aca="false">J262*(1-I262)</f>
        <v>140</v>
      </c>
    </row>
    <row r="263" customFormat="false" ht="15" hidden="false" customHeight="false" outlineLevel="0" collapsed="false">
      <c r="A263" s="11" t="n">
        <v>262</v>
      </c>
      <c r="B263" s="15" t="n">
        <v>45759</v>
      </c>
      <c r="C263" s="11" t="n">
        <v>1</v>
      </c>
      <c r="D263" s="11" t="n">
        <v>1</v>
      </c>
      <c r="E263" s="11" t="n">
        <v>39</v>
      </c>
      <c r="F263" s="11" t="n">
        <v>7</v>
      </c>
      <c r="G263" s="11" t="n">
        <v>2</v>
      </c>
      <c r="H263" s="13" t="n">
        <v>50</v>
      </c>
      <c r="I263" s="16" t="n">
        <v>0</v>
      </c>
      <c r="J263" s="13" t="n">
        <f aca="false">G263*H263</f>
        <v>100</v>
      </c>
      <c r="K263" s="13" t="n">
        <f aca="false">J263*(1-I263)</f>
        <v>100</v>
      </c>
    </row>
    <row r="264" customFormat="false" ht="15" hidden="false" customHeight="false" outlineLevel="0" collapsed="false">
      <c r="A264" s="11" t="n">
        <v>263</v>
      </c>
      <c r="B264" s="15" t="n">
        <v>45760</v>
      </c>
      <c r="C264" s="11" t="n">
        <v>1</v>
      </c>
      <c r="D264" s="11" t="n">
        <v>3</v>
      </c>
      <c r="E264" s="11" t="n">
        <v>20</v>
      </c>
      <c r="F264" s="11" t="n">
        <v>15</v>
      </c>
      <c r="G264" s="11" t="n">
        <v>1</v>
      </c>
      <c r="H264" s="13" t="n">
        <v>65</v>
      </c>
      <c r="I264" s="16" t="n">
        <v>0</v>
      </c>
      <c r="J264" s="13" t="n">
        <f aca="false">G264*H264</f>
        <v>65</v>
      </c>
      <c r="K264" s="13" t="n">
        <f aca="false">J264*(1-I264)</f>
        <v>65</v>
      </c>
    </row>
    <row r="265" customFormat="false" ht="15" hidden="false" customHeight="false" outlineLevel="0" collapsed="false">
      <c r="A265" s="11" t="n">
        <v>264</v>
      </c>
      <c r="B265" s="15" t="n">
        <v>45760</v>
      </c>
      <c r="C265" s="11" t="n">
        <v>2</v>
      </c>
      <c r="D265" s="11" t="n">
        <v>5</v>
      </c>
      <c r="E265" s="11" t="n">
        <v>28</v>
      </c>
      <c r="F265" s="11" t="n">
        <v>11</v>
      </c>
      <c r="G265" s="11" t="n">
        <v>1</v>
      </c>
      <c r="H265" s="13" t="n">
        <v>72</v>
      </c>
      <c r="I265" s="16" t="n">
        <v>0</v>
      </c>
      <c r="J265" s="13" t="n">
        <f aca="false">G265*H265</f>
        <v>72</v>
      </c>
      <c r="K265" s="13" t="n">
        <f aca="false">J265*(1-I265)</f>
        <v>72</v>
      </c>
    </row>
    <row r="266" customFormat="false" ht="15" hidden="false" customHeight="false" outlineLevel="0" collapsed="false">
      <c r="A266" s="11" t="n">
        <v>265</v>
      </c>
      <c r="B266" s="15" t="n">
        <v>45760</v>
      </c>
      <c r="C266" s="11" t="n">
        <v>1</v>
      </c>
      <c r="D266" s="11" t="n">
        <v>2</v>
      </c>
      <c r="E266" s="11" t="n">
        <v>7</v>
      </c>
      <c r="F266" s="11" t="n">
        <v>5</v>
      </c>
      <c r="G266" s="11" t="n">
        <v>1</v>
      </c>
      <c r="H266" s="13" t="n">
        <v>58</v>
      </c>
      <c r="I266" s="16" t="n">
        <v>0</v>
      </c>
      <c r="J266" s="13" t="n">
        <f aca="false">G266*H266</f>
        <v>58</v>
      </c>
      <c r="K266" s="13" t="n">
        <f aca="false">J266*(1-I266)</f>
        <v>58</v>
      </c>
    </row>
    <row r="267" customFormat="false" ht="15" hidden="false" customHeight="false" outlineLevel="0" collapsed="false">
      <c r="A267" s="11" t="n">
        <v>266</v>
      </c>
      <c r="B267" s="15" t="n">
        <v>45760</v>
      </c>
      <c r="C267" s="11" t="n">
        <v>1</v>
      </c>
      <c r="D267" s="11" t="n">
        <v>2</v>
      </c>
      <c r="E267" s="11" t="n">
        <v>21</v>
      </c>
      <c r="F267" s="11" t="n">
        <v>5</v>
      </c>
      <c r="G267" s="11" t="n">
        <v>3</v>
      </c>
      <c r="H267" s="13" t="n">
        <v>58</v>
      </c>
      <c r="I267" s="16" t="n">
        <v>0</v>
      </c>
      <c r="J267" s="13" t="n">
        <f aca="false">G267*H267</f>
        <v>174</v>
      </c>
      <c r="K267" s="13" t="n">
        <f aca="false">J267*(1-I267)</f>
        <v>174</v>
      </c>
    </row>
    <row r="268" customFormat="false" ht="15" hidden="false" customHeight="false" outlineLevel="0" collapsed="false">
      <c r="A268" s="11" t="n">
        <v>267</v>
      </c>
      <c r="B268" s="15" t="n">
        <v>45762</v>
      </c>
      <c r="C268" s="11" t="n">
        <v>2</v>
      </c>
      <c r="D268" s="11" t="n">
        <v>5</v>
      </c>
      <c r="E268" s="11" t="n">
        <v>43</v>
      </c>
      <c r="F268" s="11" t="n">
        <v>16</v>
      </c>
      <c r="G268" s="11" t="n">
        <v>1</v>
      </c>
      <c r="H268" s="13" t="n">
        <v>45</v>
      </c>
      <c r="I268" s="16" t="n">
        <v>0</v>
      </c>
      <c r="J268" s="13" t="n">
        <f aca="false">G268*H268</f>
        <v>45</v>
      </c>
      <c r="K268" s="13" t="n">
        <f aca="false">J268*(1-I268)</f>
        <v>45</v>
      </c>
    </row>
    <row r="269" customFormat="false" ht="15" hidden="false" customHeight="false" outlineLevel="0" collapsed="false">
      <c r="A269" s="11" t="n">
        <v>268</v>
      </c>
      <c r="B269" s="15" t="n">
        <v>45762</v>
      </c>
      <c r="C269" s="11" t="n">
        <v>1</v>
      </c>
      <c r="D269" s="11" t="n">
        <v>2</v>
      </c>
      <c r="E269" s="11" t="n">
        <v>37</v>
      </c>
      <c r="F269" s="11" t="n">
        <v>2</v>
      </c>
      <c r="G269" s="11" t="n">
        <v>1</v>
      </c>
      <c r="H269" s="13" t="n">
        <v>45</v>
      </c>
      <c r="I269" s="16" t="n">
        <v>0</v>
      </c>
      <c r="J269" s="13" t="n">
        <f aca="false">G269*H269</f>
        <v>45</v>
      </c>
      <c r="K269" s="13" t="n">
        <f aca="false">J269*(1-I269)</f>
        <v>45</v>
      </c>
    </row>
    <row r="270" customFormat="false" ht="15" hidden="false" customHeight="false" outlineLevel="0" collapsed="false">
      <c r="A270" s="11" t="n">
        <v>269</v>
      </c>
      <c r="B270" s="15" t="n">
        <v>45762</v>
      </c>
      <c r="C270" s="11" t="n">
        <v>1</v>
      </c>
      <c r="D270" s="11" t="n">
        <v>2</v>
      </c>
      <c r="E270" s="11" t="n">
        <v>45</v>
      </c>
      <c r="F270" s="11" t="n">
        <v>6</v>
      </c>
      <c r="G270" s="11" t="n">
        <v>2</v>
      </c>
      <c r="H270" s="13" t="n">
        <v>62</v>
      </c>
      <c r="I270" s="16" t="n">
        <v>0</v>
      </c>
      <c r="J270" s="13" t="n">
        <f aca="false">G270*H270</f>
        <v>124</v>
      </c>
      <c r="K270" s="13" t="n">
        <f aca="false">J270*(1-I270)</f>
        <v>124</v>
      </c>
    </row>
    <row r="271" customFormat="false" ht="15" hidden="false" customHeight="false" outlineLevel="0" collapsed="false">
      <c r="A271" s="11" t="n">
        <v>270</v>
      </c>
      <c r="B271" s="15" t="n">
        <v>45762</v>
      </c>
      <c r="C271" s="11" t="n">
        <v>1</v>
      </c>
      <c r="D271" s="11" t="n">
        <v>2</v>
      </c>
      <c r="E271" s="11" t="n">
        <v>10</v>
      </c>
      <c r="F271" s="11" t="n">
        <v>1</v>
      </c>
      <c r="G271" s="11" t="n">
        <v>4</v>
      </c>
      <c r="H271" s="13" t="n">
        <v>35</v>
      </c>
      <c r="I271" s="16" t="n">
        <v>0</v>
      </c>
      <c r="J271" s="13" t="n">
        <f aca="false">G271*H271</f>
        <v>140</v>
      </c>
      <c r="K271" s="13" t="n">
        <f aca="false">J271*(1-I271)</f>
        <v>140</v>
      </c>
    </row>
    <row r="272" customFormat="false" ht="15" hidden="false" customHeight="false" outlineLevel="0" collapsed="false">
      <c r="A272" s="11" t="n">
        <v>271</v>
      </c>
      <c r="B272" s="15" t="n">
        <v>45763</v>
      </c>
      <c r="C272" s="11" t="n">
        <v>2</v>
      </c>
      <c r="D272" s="11" t="n">
        <v>4</v>
      </c>
      <c r="E272" s="11" t="n">
        <v>29</v>
      </c>
      <c r="F272" s="11" t="n">
        <v>15</v>
      </c>
      <c r="G272" s="11" t="n">
        <v>1</v>
      </c>
      <c r="H272" s="13" t="n">
        <v>65</v>
      </c>
      <c r="I272" s="16" t="n">
        <v>0</v>
      </c>
      <c r="J272" s="13" t="n">
        <f aca="false">G272*H272</f>
        <v>65</v>
      </c>
      <c r="K272" s="13" t="n">
        <f aca="false">J272*(1-I272)</f>
        <v>65</v>
      </c>
    </row>
    <row r="273" customFormat="false" ht="15" hidden="false" customHeight="false" outlineLevel="0" collapsed="false">
      <c r="A273" s="11" t="n">
        <v>272</v>
      </c>
      <c r="B273" s="15" t="n">
        <v>45763</v>
      </c>
      <c r="C273" s="11" t="n">
        <v>4</v>
      </c>
      <c r="D273" s="11" t="n">
        <v>9</v>
      </c>
      <c r="E273" s="11" t="n">
        <v>2</v>
      </c>
      <c r="F273" s="11" t="n">
        <v>10</v>
      </c>
      <c r="G273" s="11" t="n">
        <v>2</v>
      </c>
      <c r="H273" s="13" t="n">
        <v>70</v>
      </c>
      <c r="I273" s="16" t="n">
        <v>0</v>
      </c>
      <c r="J273" s="13" t="n">
        <f aca="false">G273*H273</f>
        <v>140</v>
      </c>
      <c r="K273" s="13" t="n">
        <f aca="false">J273*(1-I273)</f>
        <v>140</v>
      </c>
    </row>
    <row r="274" customFormat="false" ht="15" hidden="false" customHeight="false" outlineLevel="0" collapsed="false">
      <c r="A274" s="11" t="n">
        <v>273</v>
      </c>
      <c r="B274" s="15" t="n">
        <v>45764</v>
      </c>
      <c r="C274" s="11" t="n">
        <v>1</v>
      </c>
      <c r="D274" s="11" t="n">
        <v>2</v>
      </c>
      <c r="E274" s="11" t="n">
        <v>8</v>
      </c>
      <c r="F274" s="11" t="n">
        <v>10</v>
      </c>
      <c r="G274" s="11" t="n">
        <v>2</v>
      </c>
      <c r="H274" s="13" t="n">
        <v>70</v>
      </c>
      <c r="I274" s="16" t="n">
        <v>0</v>
      </c>
      <c r="J274" s="13" t="n">
        <f aca="false">G274*H274</f>
        <v>140</v>
      </c>
      <c r="K274" s="13" t="n">
        <f aca="false">J274*(1-I274)</f>
        <v>140</v>
      </c>
    </row>
    <row r="275" customFormat="false" ht="15" hidden="false" customHeight="false" outlineLevel="0" collapsed="false">
      <c r="A275" s="11" t="n">
        <v>274</v>
      </c>
      <c r="B275" s="15" t="n">
        <v>45764</v>
      </c>
      <c r="C275" s="11" t="n">
        <v>4</v>
      </c>
      <c r="D275" s="11" t="n">
        <v>9</v>
      </c>
      <c r="E275" s="11" t="n">
        <v>7</v>
      </c>
      <c r="F275" s="11" t="n">
        <v>16</v>
      </c>
      <c r="G275" s="11" t="n">
        <v>2</v>
      </c>
      <c r="H275" s="13" t="n">
        <v>45</v>
      </c>
      <c r="I275" s="16" t="n">
        <v>0</v>
      </c>
      <c r="J275" s="13" t="n">
        <f aca="false">G275*H275</f>
        <v>90</v>
      </c>
      <c r="K275" s="13" t="n">
        <f aca="false">J275*(1-I275)</f>
        <v>90</v>
      </c>
    </row>
    <row r="276" customFormat="false" ht="15" hidden="false" customHeight="false" outlineLevel="0" collapsed="false">
      <c r="A276" s="11" t="n">
        <v>275</v>
      </c>
      <c r="B276" s="15" t="n">
        <v>45764</v>
      </c>
      <c r="C276" s="11" t="n">
        <v>3</v>
      </c>
      <c r="D276" s="11" t="n">
        <v>7</v>
      </c>
      <c r="E276" s="11" t="n">
        <v>38</v>
      </c>
      <c r="F276" s="11" t="n">
        <v>11</v>
      </c>
      <c r="G276" s="11" t="n">
        <v>2</v>
      </c>
      <c r="H276" s="13" t="n">
        <v>72</v>
      </c>
      <c r="I276" s="16" t="n">
        <v>0</v>
      </c>
      <c r="J276" s="13" t="n">
        <f aca="false">G276*H276</f>
        <v>144</v>
      </c>
      <c r="K276" s="13" t="n">
        <f aca="false">J276*(1-I276)</f>
        <v>144</v>
      </c>
    </row>
    <row r="277" customFormat="false" ht="15" hidden="false" customHeight="false" outlineLevel="0" collapsed="false">
      <c r="A277" s="11" t="n">
        <v>276</v>
      </c>
      <c r="B277" s="15" t="n">
        <v>45764</v>
      </c>
      <c r="C277" s="11" t="n">
        <v>2</v>
      </c>
      <c r="D277" s="11" t="n">
        <v>4</v>
      </c>
      <c r="E277" s="11" t="n">
        <v>57</v>
      </c>
      <c r="F277" s="11" t="n">
        <v>1</v>
      </c>
      <c r="G277" s="11" t="n">
        <v>2</v>
      </c>
      <c r="H277" s="13" t="n">
        <v>35</v>
      </c>
      <c r="I277" s="16" t="n">
        <v>0</v>
      </c>
      <c r="J277" s="13" t="n">
        <f aca="false">G277*H277</f>
        <v>70</v>
      </c>
      <c r="K277" s="13" t="n">
        <f aca="false">J277*(1-I277)</f>
        <v>70</v>
      </c>
    </row>
    <row r="278" customFormat="false" ht="15" hidden="false" customHeight="false" outlineLevel="0" collapsed="false">
      <c r="A278" s="11" t="n">
        <v>277</v>
      </c>
      <c r="B278" s="15" t="n">
        <v>45765</v>
      </c>
      <c r="C278" s="11" t="n">
        <v>4</v>
      </c>
      <c r="D278" s="11" t="n">
        <v>9</v>
      </c>
      <c r="E278" s="11" t="n">
        <v>17</v>
      </c>
      <c r="F278" s="11" t="n">
        <v>16</v>
      </c>
      <c r="G278" s="11" t="n">
        <v>4</v>
      </c>
      <c r="H278" s="13" t="n">
        <v>45</v>
      </c>
      <c r="I278" s="16" t="n">
        <v>0</v>
      </c>
      <c r="J278" s="13" t="n">
        <f aca="false">G278*H278</f>
        <v>180</v>
      </c>
      <c r="K278" s="13" t="n">
        <f aca="false">J278*(1-I278)</f>
        <v>180</v>
      </c>
    </row>
    <row r="279" customFormat="false" ht="15" hidden="false" customHeight="false" outlineLevel="0" collapsed="false">
      <c r="A279" s="11" t="n">
        <v>278</v>
      </c>
      <c r="B279" s="15" t="n">
        <v>45765</v>
      </c>
      <c r="C279" s="11" t="n">
        <v>2</v>
      </c>
      <c r="D279" s="11" t="n">
        <v>5</v>
      </c>
      <c r="E279" s="11" t="n">
        <v>58</v>
      </c>
      <c r="F279" s="11" t="n">
        <v>4</v>
      </c>
      <c r="G279" s="11" t="n">
        <v>1</v>
      </c>
      <c r="H279" s="13" t="n">
        <v>55</v>
      </c>
      <c r="I279" s="16" t="n">
        <v>0</v>
      </c>
      <c r="J279" s="13" t="n">
        <f aca="false">G279*H279</f>
        <v>55</v>
      </c>
      <c r="K279" s="13" t="n">
        <f aca="false">J279*(1-I279)</f>
        <v>55</v>
      </c>
    </row>
    <row r="280" customFormat="false" ht="15" hidden="false" customHeight="false" outlineLevel="0" collapsed="false">
      <c r="A280" s="11" t="n">
        <v>279</v>
      </c>
      <c r="B280" s="15" t="n">
        <v>45766</v>
      </c>
      <c r="C280" s="11" t="n">
        <v>4</v>
      </c>
      <c r="D280" s="11" t="n">
        <v>9</v>
      </c>
      <c r="E280" s="11" t="n">
        <v>13</v>
      </c>
      <c r="F280" s="11" t="n">
        <v>1</v>
      </c>
      <c r="G280" s="11" t="n">
        <v>5</v>
      </c>
      <c r="H280" s="13" t="n">
        <v>35</v>
      </c>
      <c r="I280" s="16" t="n">
        <v>0</v>
      </c>
      <c r="J280" s="13" t="n">
        <f aca="false">G280*H280</f>
        <v>175</v>
      </c>
      <c r="K280" s="13" t="n">
        <f aca="false">J280*(1-I280)</f>
        <v>175</v>
      </c>
    </row>
    <row r="281" customFormat="false" ht="15" hidden="false" customHeight="false" outlineLevel="0" collapsed="false">
      <c r="A281" s="11" t="n">
        <v>280</v>
      </c>
      <c r="B281" s="15" t="n">
        <v>45767</v>
      </c>
      <c r="C281" s="11" t="n">
        <v>2</v>
      </c>
      <c r="D281" s="11" t="n">
        <v>5</v>
      </c>
      <c r="E281" s="11" t="n">
        <v>1</v>
      </c>
      <c r="F281" s="11" t="n">
        <v>4</v>
      </c>
      <c r="G281" s="11" t="n">
        <v>2</v>
      </c>
      <c r="H281" s="13" t="n">
        <v>55</v>
      </c>
      <c r="I281" s="16" t="n">
        <v>0.1</v>
      </c>
      <c r="J281" s="13" t="n">
        <f aca="false">G281*H281</f>
        <v>110</v>
      </c>
      <c r="K281" s="13" t="n">
        <f aca="false">J281*(1-I281)</f>
        <v>99</v>
      </c>
    </row>
    <row r="282" customFormat="false" ht="15" hidden="false" customHeight="false" outlineLevel="0" collapsed="false">
      <c r="A282" s="11" t="n">
        <v>281</v>
      </c>
      <c r="B282" s="15" t="n">
        <v>45767</v>
      </c>
      <c r="C282" s="11" t="n">
        <v>3</v>
      </c>
      <c r="D282" s="11" t="n">
        <v>7</v>
      </c>
      <c r="E282" s="11" t="n">
        <v>32</v>
      </c>
      <c r="F282" s="11" t="n">
        <v>10</v>
      </c>
      <c r="G282" s="11" t="n">
        <v>1</v>
      </c>
      <c r="H282" s="13" t="n">
        <v>70</v>
      </c>
      <c r="I282" s="16" t="n">
        <v>0</v>
      </c>
      <c r="J282" s="13" t="n">
        <f aca="false">G282*H282</f>
        <v>70</v>
      </c>
      <c r="K282" s="13" t="n">
        <f aca="false">J282*(1-I282)</f>
        <v>70</v>
      </c>
    </row>
    <row r="283" customFormat="false" ht="15" hidden="false" customHeight="false" outlineLevel="0" collapsed="false">
      <c r="A283" s="11" t="n">
        <v>282</v>
      </c>
      <c r="B283" s="15" t="n">
        <v>45768</v>
      </c>
      <c r="C283" s="11" t="n">
        <v>3</v>
      </c>
      <c r="D283" s="11" t="n">
        <v>7</v>
      </c>
      <c r="E283" s="11" t="n">
        <v>36</v>
      </c>
      <c r="F283" s="11" t="n">
        <v>4</v>
      </c>
      <c r="G283" s="11" t="n">
        <v>2</v>
      </c>
      <c r="H283" s="13" t="n">
        <v>55</v>
      </c>
      <c r="I283" s="16" t="n">
        <v>0</v>
      </c>
      <c r="J283" s="13" t="n">
        <f aca="false">G283*H283</f>
        <v>110</v>
      </c>
      <c r="K283" s="13" t="n">
        <f aca="false">J283*(1-I283)</f>
        <v>110</v>
      </c>
    </row>
    <row r="284" customFormat="false" ht="15" hidden="false" customHeight="false" outlineLevel="0" collapsed="false">
      <c r="A284" s="11" t="n">
        <v>283</v>
      </c>
      <c r="B284" s="15" t="n">
        <v>45768</v>
      </c>
      <c r="C284" s="11" t="n">
        <v>4</v>
      </c>
      <c r="D284" s="11" t="n">
        <v>9</v>
      </c>
      <c r="E284" s="11" t="n">
        <v>5</v>
      </c>
      <c r="F284" s="11" t="n">
        <v>4</v>
      </c>
      <c r="G284" s="11" t="n">
        <v>3</v>
      </c>
      <c r="H284" s="13" t="n">
        <v>55</v>
      </c>
      <c r="I284" s="16" t="n">
        <v>0</v>
      </c>
      <c r="J284" s="13" t="n">
        <f aca="false">G284*H284</f>
        <v>165</v>
      </c>
      <c r="K284" s="13" t="n">
        <f aca="false">J284*(1-I284)</f>
        <v>165</v>
      </c>
    </row>
    <row r="285" customFormat="false" ht="15" hidden="false" customHeight="false" outlineLevel="0" collapsed="false">
      <c r="A285" s="11" t="n">
        <v>284</v>
      </c>
      <c r="B285" s="15" t="n">
        <v>45768</v>
      </c>
      <c r="C285" s="11" t="n">
        <v>3</v>
      </c>
      <c r="D285" s="11" t="n">
        <v>6</v>
      </c>
      <c r="E285" s="11" t="n">
        <v>24</v>
      </c>
      <c r="F285" s="11" t="n">
        <v>13</v>
      </c>
      <c r="G285" s="11" t="n">
        <v>1</v>
      </c>
      <c r="H285" s="13" t="n">
        <v>32</v>
      </c>
      <c r="I285" s="16" t="n">
        <v>0</v>
      </c>
      <c r="J285" s="13" t="n">
        <f aca="false">G285*H285</f>
        <v>32</v>
      </c>
      <c r="K285" s="13" t="n">
        <f aca="false">J285*(1-I285)</f>
        <v>32</v>
      </c>
    </row>
    <row r="286" customFormat="false" ht="15" hidden="false" customHeight="false" outlineLevel="0" collapsed="false">
      <c r="A286" s="11" t="n">
        <v>285</v>
      </c>
      <c r="B286" s="15" t="n">
        <v>45768</v>
      </c>
      <c r="C286" s="11" t="n">
        <v>3</v>
      </c>
      <c r="D286" s="11" t="n">
        <v>6</v>
      </c>
      <c r="E286" s="11" t="n">
        <v>3</v>
      </c>
      <c r="F286" s="11" t="n">
        <v>11</v>
      </c>
      <c r="G286" s="11" t="n">
        <v>1</v>
      </c>
      <c r="H286" s="13" t="n">
        <v>72</v>
      </c>
      <c r="I286" s="16" t="n">
        <v>0</v>
      </c>
      <c r="J286" s="13" t="n">
        <f aca="false">G286*H286</f>
        <v>72</v>
      </c>
      <c r="K286" s="13" t="n">
        <f aca="false">J286*(1-I286)</f>
        <v>72</v>
      </c>
    </row>
    <row r="287" customFormat="false" ht="15" hidden="false" customHeight="false" outlineLevel="0" collapsed="false">
      <c r="A287" s="11" t="n">
        <v>286</v>
      </c>
      <c r="B287" s="15" t="n">
        <v>45768</v>
      </c>
      <c r="C287" s="11" t="n">
        <v>4</v>
      </c>
      <c r="D287" s="11" t="n">
        <v>8</v>
      </c>
      <c r="E287" s="11" t="n">
        <v>54</v>
      </c>
      <c r="F287" s="11" t="n">
        <v>18</v>
      </c>
      <c r="G287" s="11" t="n">
        <v>1</v>
      </c>
      <c r="H287" s="13" t="n">
        <v>95</v>
      </c>
      <c r="I287" s="16" t="n">
        <v>0</v>
      </c>
      <c r="J287" s="13" t="n">
        <f aca="false">G287*H287</f>
        <v>95</v>
      </c>
      <c r="K287" s="13" t="n">
        <f aca="false">J287*(1-I287)</f>
        <v>95</v>
      </c>
    </row>
    <row r="288" customFormat="false" ht="15" hidden="false" customHeight="false" outlineLevel="0" collapsed="false">
      <c r="A288" s="11" t="n">
        <v>287</v>
      </c>
      <c r="B288" s="15" t="n">
        <v>45768</v>
      </c>
      <c r="C288" s="11" t="n">
        <v>4</v>
      </c>
      <c r="D288" s="11" t="n">
        <v>8</v>
      </c>
      <c r="E288" s="11" t="n">
        <v>55</v>
      </c>
      <c r="F288" s="11" t="n">
        <v>17</v>
      </c>
      <c r="G288" s="11" t="n">
        <v>4</v>
      </c>
      <c r="H288" s="13" t="n">
        <v>28</v>
      </c>
      <c r="I288" s="16" t="n">
        <v>0.05</v>
      </c>
      <c r="J288" s="13" t="n">
        <f aca="false">G288*H288</f>
        <v>112</v>
      </c>
      <c r="K288" s="13" t="n">
        <f aca="false">J288*(1-I288)</f>
        <v>106.4</v>
      </c>
    </row>
    <row r="289" customFormat="false" ht="15" hidden="false" customHeight="false" outlineLevel="0" collapsed="false">
      <c r="A289" s="11" t="n">
        <v>288</v>
      </c>
      <c r="B289" s="15" t="n">
        <v>45768</v>
      </c>
      <c r="C289" s="11" t="n">
        <v>1</v>
      </c>
      <c r="D289" s="11" t="n">
        <v>1</v>
      </c>
      <c r="E289" s="11" t="n">
        <v>19</v>
      </c>
      <c r="F289" s="11" t="n">
        <v>17</v>
      </c>
      <c r="G289" s="11" t="n">
        <v>1</v>
      </c>
      <c r="H289" s="13" t="n">
        <v>28</v>
      </c>
      <c r="I289" s="16" t="n">
        <v>0</v>
      </c>
      <c r="J289" s="13" t="n">
        <f aca="false">G289*H289</f>
        <v>28</v>
      </c>
      <c r="K289" s="13" t="n">
        <f aca="false">J289*(1-I289)</f>
        <v>28</v>
      </c>
    </row>
    <row r="290" customFormat="false" ht="15" hidden="false" customHeight="false" outlineLevel="0" collapsed="false">
      <c r="A290" s="11" t="n">
        <v>289</v>
      </c>
      <c r="B290" s="15" t="n">
        <v>45769</v>
      </c>
      <c r="C290" s="11" t="n">
        <v>2</v>
      </c>
      <c r="D290" s="11" t="n">
        <v>4</v>
      </c>
      <c r="E290" s="11" t="n">
        <v>14</v>
      </c>
      <c r="F290" s="11" t="n">
        <v>18</v>
      </c>
      <c r="G290" s="11" t="n">
        <v>3</v>
      </c>
      <c r="H290" s="13" t="n">
        <v>95</v>
      </c>
      <c r="I290" s="16" t="n">
        <v>0.05</v>
      </c>
      <c r="J290" s="13" t="n">
        <f aca="false">G290*H290</f>
        <v>285</v>
      </c>
      <c r="K290" s="13" t="n">
        <f aca="false">J290*(1-I290)</f>
        <v>270.75</v>
      </c>
    </row>
    <row r="291" customFormat="false" ht="15" hidden="false" customHeight="false" outlineLevel="0" collapsed="false">
      <c r="A291" s="11" t="n">
        <v>290</v>
      </c>
      <c r="B291" s="15" t="n">
        <v>45769</v>
      </c>
      <c r="C291" s="11" t="n">
        <v>5</v>
      </c>
      <c r="D291" s="11" t="n">
        <v>10</v>
      </c>
      <c r="E291" s="11" t="n">
        <v>5</v>
      </c>
      <c r="F291" s="11" t="n">
        <v>6</v>
      </c>
      <c r="G291" s="11" t="n">
        <v>4</v>
      </c>
      <c r="H291" s="13" t="n">
        <v>62</v>
      </c>
      <c r="I291" s="16" t="n">
        <v>0.15</v>
      </c>
      <c r="J291" s="13" t="n">
        <f aca="false">G291*H291</f>
        <v>248</v>
      </c>
      <c r="K291" s="13" t="n">
        <f aca="false">J291*(1-I291)</f>
        <v>210.8</v>
      </c>
    </row>
    <row r="292" customFormat="false" ht="15" hidden="false" customHeight="false" outlineLevel="0" collapsed="false">
      <c r="A292" s="11" t="n">
        <v>291</v>
      </c>
      <c r="B292" s="15" t="n">
        <v>45769</v>
      </c>
      <c r="C292" s="11" t="n">
        <v>3</v>
      </c>
      <c r="D292" s="11" t="n">
        <v>7</v>
      </c>
      <c r="E292" s="11" t="n">
        <v>29</v>
      </c>
      <c r="F292" s="11" t="n">
        <v>3</v>
      </c>
      <c r="G292" s="11" t="n">
        <v>2</v>
      </c>
      <c r="H292" s="13" t="n">
        <v>38</v>
      </c>
      <c r="I292" s="16" t="n">
        <v>0</v>
      </c>
      <c r="J292" s="13" t="n">
        <f aca="false">G292*H292</f>
        <v>76</v>
      </c>
      <c r="K292" s="13" t="n">
        <f aca="false">J292*(1-I292)</f>
        <v>76</v>
      </c>
    </row>
    <row r="293" customFormat="false" ht="15" hidden="false" customHeight="false" outlineLevel="0" collapsed="false">
      <c r="A293" s="11" t="n">
        <v>292</v>
      </c>
      <c r="B293" s="15" t="n">
        <v>45769</v>
      </c>
      <c r="C293" s="11" t="n">
        <v>1</v>
      </c>
      <c r="D293" s="11" t="n">
        <v>3</v>
      </c>
      <c r="E293" s="11" t="n">
        <v>2</v>
      </c>
      <c r="F293" s="11" t="n">
        <v>1</v>
      </c>
      <c r="G293" s="11" t="n">
        <v>1</v>
      </c>
      <c r="H293" s="13" t="n">
        <v>35</v>
      </c>
      <c r="I293" s="16" t="n">
        <v>0</v>
      </c>
      <c r="J293" s="13" t="n">
        <f aca="false">G293*H293</f>
        <v>35</v>
      </c>
      <c r="K293" s="13" t="n">
        <f aca="false">J293*(1-I293)</f>
        <v>35</v>
      </c>
    </row>
    <row r="294" customFormat="false" ht="15" hidden="false" customHeight="false" outlineLevel="0" collapsed="false">
      <c r="A294" s="11" t="n">
        <v>293</v>
      </c>
      <c r="B294" s="15" t="n">
        <v>45769</v>
      </c>
      <c r="C294" s="11" t="n">
        <v>2</v>
      </c>
      <c r="D294" s="11" t="n">
        <v>5</v>
      </c>
      <c r="E294" s="11" t="n">
        <v>10</v>
      </c>
      <c r="F294" s="11" t="n">
        <v>2</v>
      </c>
      <c r="G294" s="11" t="n">
        <v>2</v>
      </c>
      <c r="H294" s="13" t="n">
        <v>45</v>
      </c>
      <c r="I294" s="16" t="n">
        <v>0</v>
      </c>
      <c r="J294" s="13" t="n">
        <f aca="false">G294*H294</f>
        <v>90</v>
      </c>
      <c r="K294" s="13" t="n">
        <f aca="false">J294*(1-I294)</f>
        <v>90</v>
      </c>
    </row>
    <row r="295" customFormat="false" ht="15" hidden="false" customHeight="false" outlineLevel="0" collapsed="false">
      <c r="A295" s="11" t="n">
        <v>294</v>
      </c>
      <c r="B295" s="15" t="n">
        <v>45770</v>
      </c>
      <c r="C295" s="11" t="n">
        <v>1</v>
      </c>
      <c r="D295" s="11" t="n">
        <v>2</v>
      </c>
      <c r="E295" s="11" t="n">
        <v>11</v>
      </c>
      <c r="F295" s="11" t="n">
        <v>20</v>
      </c>
      <c r="G295" s="11" t="n">
        <v>2</v>
      </c>
      <c r="H295" s="13" t="n">
        <v>88</v>
      </c>
      <c r="I295" s="16" t="n">
        <v>0</v>
      </c>
      <c r="J295" s="13" t="n">
        <f aca="false">G295*H295</f>
        <v>176</v>
      </c>
      <c r="K295" s="13" t="n">
        <f aca="false">J295*(1-I295)</f>
        <v>176</v>
      </c>
    </row>
    <row r="296" customFormat="false" ht="15" hidden="false" customHeight="false" outlineLevel="0" collapsed="false">
      <c r="A296" s="11" t="n">
        <v>295</v>
      </c>
      <c r="B296" s="15" t="n">
        <v>45770</v>
      </c>
      <c r="C296" s="11" t="n">
        <v>2</v>
      </c>
      <c r="D296" s="11" t="n">
        <v>4</v>
      </c>
      <c r="E296" s="11" t="n">
        <v>59</v>
      </c>
      <c r="F296" s="11" t="n">
        <v>8</v>
      </c>
      <c r="G296" s="11" t="n">
        <v>1</v>
      </c>
      <c r="H296" s="13" t="n">
        <v>52</v>
      </c>
      <c r="I296" s="16" t="n">
        <v>0</v>
      </c>
      <c r="J296" s="13" t="n">
        <f aca="false">G296*H296</f>
        <v>52</v>
      </c>
      <c r="K296" s="13" t="n">
        <f aca="false">J296*(1-I296)</f>
        <v>52</v>
      </c>
    </row>
    <row r="297" customFormat="false" ht="15" hidden="false" customHeight="false" outlineLevel="0" collapsed="false">
      <c r="A297" s="11" t="n">
        <v>296</v>
      </c>
      <c r="B297" s="15" t="n">
        <v>45771</v>
      </c>
      <c r="C297" s="11" t="n">
        <v>2</v>
      </c>
      <c r="D297" s="11" t="n">
        <v>5</v>
      </c>
      <c r="E297" s="11" t="n">
        <v>1</v>
      </c>
      <c r="F297" s="11" t="n">
        <v>6</v>
      </c>
      <c r="G297" s="11" t="n">
        <v>3</v>
      </c>
      <c r="H297" s="13" t="n">
        <v>62</v>
      </c>
      <c r="I297" s="16" t="n">
        <v>0</v>
      </c>
      <c r="J297" s="13" t="n">
        <f aca="false">G297*H297</f>
        <v>186</v>
      </c>
      <c r="K297" s="13" t="n">
        <f aca="false">J297*(1-I297)</f>
        <v>186</v>
      </c>
    </row>
    <row r="298" customFormat="false" ht="15" hidden="false" customHeight="false" outlineLevel="0" collapsed="false">
      <c r="A298" s="11" t="n">
        <v>297</v>
      </c>
      <c r="B298" s="15" t="n">
        <v>45771</v>
      </c>
      <c r="C298" s="11" t="n">
        <v>1</v>
      </c>
      <c r="D298" s="11" t="n">
        <v>1</v>
      </c>
      <c r="E298" s="11" t="n">
        <v>55</v>
      </c>
      <c r="F298" s="11" t="n">
        <v>16</v>
      </c>
      <c r="G298" s="11" t="n">
        <v>2</v>
      </c>
      <c r="H298" s="13" t="n">
        <v>45</v>
      </c>
      <c r="I298" s="16" t="n">
        <v>0</v>
      </c>
      <c r="J298" s="13" t="n">
        <f aca="false">G298*H298</f>
        <v>90</v>
      </c>
      <c r="K298" s="13" t="n">
        <f aca="false">J298*(1-I298)</f>
        <v>90</v>
      </c>
    </row>
    <row r="299" customFormat="false" ht="15" hidden="false" customHeight="false" outlineLevel="0" collapsed="false">
      <c r="A299" s="11" t="n">
        <v>298</v>
      </c>
      <c r="B299" s="15" t="n">
        <v>45772</v>
      </c>
      <c r="C299" s="11" t="n">
        <v>4</v>
      </c>
      <c r="D299" s="11" t="n">
        <v>8</v>
      </c>
      <c r="E299" s="11" t="n">
        <v>10</v>
      </c>
      <c r="F299" s="11" t="n">
        <v>4</v>
      </c>
      <c r="G299" s="11" t="n">
        <v>1</v>
      </c>
      <c r="H299" s="13" t="n">
        <v>55</v>
      </c>
      <c r="I299" s="16" t="n">
        <v>0</v>
      </c>
      <c r="J299" s="13" t="n">
        <f aca="false">G299*H299</f>
        <v>55</v>
      </c>
      <c r="K299" s="13" t="n">
        <f aca="false">J299*(1-I299)</f>
        <v>55</v>
      </c>
    </row>
    <row r="300" customFormat="false" ht="15" hidden="false" customHeight="false" outlineLevel="0" collapsed="false">
      <c r="A300" s="11" t="n">
        <v>299</v>
      </c>
      <c r="B300" s="15" t="n">
        <v>45772</v>
      </c>
      <c r="C300" s="11" t="n">
        <v>5</v>
      </c>
      <c r="D300" s="11" t="n">
        <v>10</v>
      </c>
      <c r="E300" s="11" t="n">
        <v>48</v>
      </c>
      <c r="F300" s="11" t="n">
        <v>2</v>
      </c>
      <c r="G300" s="11" t="n">
        <v>1</v>
      </c>
      <c r="H300" s="13" t="n">
        <v>45</v>
      </c>
      <c r="I300" s="16" t="n">
        <v>0</v>
      </c>
      <c r="J300" s="13" t="n">
        <f aca="false">G300*H300</f>
        <v>45</v>
      </c>
      <c r="K300" s="13" t="n">
        <f aca="false">J300*(1-I300)</f>
        <v>45</v>
      </c>
    </row>
    <row r="301" customFormat="false" ht="15" hidden="false" customHeight="false" outlineLevel="0" collapsed="false">
      <c r="A301" s="11" t="n">
        <v>300</v>
      </c>
      <c r="B301" s="15" t="n">
        <v>45773</v>
      </c>
      <c r="C301" s="11" t="n">
        <v>3</v>
      </c>
      <c r="D301" s="11" t="n">
        <v>7</v>
      </c>
      <c r="E301" s="11" t="n">
        <v>30</v>
      </c>
      <c r="F301" s="11" t="n">
        <v>15</v>
      </c>
      <c r="G301" s="11" t="n">
        <v>1</v>
      </c>
      <c r="H301" s="13" t="n">
        <v>65</v>
      </c>
      <c r="I301" s="16" t="n">
        <v>0</v>
      </c>
      <c r="J301" s="13" t="n">
        <f aca="false">G301*H301</f>
        <v>65</v>
      </c>
      <c r="K301" s="13" t="n">
        <f aca="false">J301*(1-I301)</f>
        <v>65</v>
      </c>
    </row>
    <row r="302" customFormat="false" ht="15" hidden="false" customHeight="false" outlineLevel="0" collapsed="false">
      <c r="A302" s="11" t="n">
        <v>301</v>
      </c>
      <c r="B302" s="15" t="n">
        <v>45773</v>
      </c>
      <c r="C302" s="11" t="n">
        <v>5</v>
      </c>
      <c r="D302" s="11" t="n">
        <v>10</v>
      </c>
      <c r="E302" s="11" t="n">
        <v>28</v>
      </c>
      <c r="F302" s="11" t="n">
        <v>13</v>
      </c>
      <c r="G302" s="11" t="n">
        <v>3</v>
      </c>
      <c r="H302" s="13" t="n">
        <v>32</v>
      </c>
      <c r="I302" s="16" t="n">
        <v>0</v>
      </c>
      <c r="J302" s="13" t="n">
        <f aca="false">G302*H302</f>
        <v>96</v>
      </c>
      <c r="K302" s="13" t="n">
        <f aca="false">J302*(1-I302)</f>
        <v>96</v>
      </c>
    </row>
    <row r="303" customFormat="false" ht="15" hidden="false" customHeight="false" outlineLevel="0" collapsed="false">
      <c r="A303" s="11" t="n">
        <v>302</v>
      </c>
      <c r="B303" s="15" t="n">
        <v>45773</v>
      </c>
      <c r="C303" s="11" t="n">
        <v>1</v>
      </c>
      <c r="D303" s="11" t="n">
        <v>1</v>
      </c>
      <c r="E303" s="11" t="n">
        <v>20</v>
      </c>
      <c r="F303" s="11" t="n">
        <v>19</v>
      </c>
      <c r="G303" s="11" t="n">
        <v>1</v>
      </c>
      <c r="H303" s="13" t="n">
        <v>125</v>
      </c>
      <c r="I303" s="16" t="n">
        <v>0.1</v>
      </c>
      <c r="J303" s="13" t="n">
        <f aca="false">G303*H303</f>
        <v>125</v>
      </c>
      <c r="K303" s="13" t="n">
        <f aca="false">J303*(1-I303)</f>
        <v>112.5</v>
      </c>
    </row>
    <row r="304" customFormat="false" ht="15" hidden="false" customHeight="false" outlineLevel="0" collapsed="false">
      <c r="A304" s="11" t="n">
        <v>303</v>
      </c>
      <c r="B304" s="15" t="n">
        <v>45774</v>
      </c>
      <c r="C304" s="11" t="n">
        <v>4</v>
      </c>
      <c r="D304" s="11" t="n">
        <v>8</v>
      </c>
      <c r="E304" s="11" t="n">
        <v>13</v>
      </c>
      <c r="F304" s="11" t="n">
        <v>8</v>
      </c>
      <c r="G304" s="11" t="n">
        <v>2</v>
      </c>
      <c r="H304" s="13" t="n">
        <v>52</v>
      </c>
      <c r="I304" s="16" t="n">
        <v>0</v>
      </c>
      <c r="J304" s="13" t="n">
        <f aca="false">G304*H304</f>
        <v>104</v>
      </c>
      <c r="K304" s="13" t="n">
        <f aca="false">J304*(1-I304)</f>
        <v>104</v>
      </c>
    </row>
    <row r="305" customFormat="false" ht="15" hidden="false" customHeight="false" outlineLevel="0" collapsed="false">
      <c r="A305" s="11" t="n">
        <v>304</v>
      </c>
      <c r="B305" s="15" t="n">
        <v>45775</v>
      </c>
      <c r="C305" s="11" t="n">
        <v>4</v>
      </c>
      <c r="D305" s="11" t="n">
        <v>8</v>
      </c>
      <c r="E305" s="11" t="n">
        <v>20</v>
      </c>
      <c r="F305" s="11" t="n">
        <v>5</v>
      </c>
      <c r="G305" s="11" t="n">
        <v>1</v>
      </c>
      <c r="H305" s="13" t="n">
        <v>58</v>
      </c>
      <c r="I305" s="16" t="n">
        <v>0.15</v>
      </c>
      <c r="J305" s="13" t="n">
        <f aca="false">G305*H305</f>
        <v>58</v>
      </c>
      <c r="K305" s="13" t="n">
        <f aca="false">J305*(1-I305)</f>
        <v>49.3</v>
      </c>
    </row>
    <row r="306" customFormat="false" ht="15" hidden="false" customHeight="false" outlineLevel="0" collapsed="false">
      <c r="A306" s="11" t="n">
        <v>305</v>
      </c>
      <c r="B306" s="15" t="n">
        <v>45775</v>
      </c>
      <c r="C306" s="11" t="n">
        <v>2</v>
      </c>
      <c r="D306" s="11" t="n">
        <v>5</v>
      </c>
      <c r="E306" s="11" t="n">
        <v>12</v>
      </c>
      <c r="F306" s="11" t="n">
        <v>15</v>
      </c>
      <c r="G306" s="11" t="n">
        <v>2</v>
      </c>
      <c r="H306" s="13" t="n">
        <v>65</v>
      </c>
      <c r="I306" s="16" t="n">
        <v>0</v>
      </c>
      <c r="J306" s="13" t="n">
        <f aca="false">G306*H306</f>
        <v>130</v>
      </c>
      <c r="K306" s="13" t="n">
        <f aca="false">J306*(1-I306)</f>
        <v>130</v>
      </c>
    </row>
    <row r="307" customFormat="false" ht="15" hidden="false" customHeight="false" outlineLevel="0" collapsed="false">
      <c r="A307" s="11" t="n">
        <v>306</v>
      </c>
      <c r="B307" s="15" t="n">
        <v>45776</v>
      </c>
      <c r="C307" s="11" t="n">
        <v>4</v>
      </c>
      <c r="D307" s="11" t="n">
        <v>9</v>
      </c>
      <c r="E307" s="11" t="n">
        <v>18</v>
      </c>
      <c r="F307" s="11" t="n">
        <v>2</v>
      </c>
      <c r="G307" s="11" t="n">
        <v>4</v>
      </c>
      <c r="H307" s="13" t="n">
        <v>45</v>
      </c>
      <c r="I307" s="16" t="n">
        <v>0</v>
      </c>
      <c r="J307" s="13" t="n">
        <f aca="false">G307*H307</f>
        <v>180</v>
      </c>
      <c r="K307" s="13" t="n">
        <f aca="false">J307*(1-I307)</f>
        <v>180</v>
      </c>
    </row>
    <row r="308" customFormat="false" ht="15" hidden="false" customHeight="false" outlineLevel="0" collapsed="false">
      <c r="A308" s="11" t="n">
        <v>307</v>
      </c>
      <c r="B308" s="15" t="n">
        <v>45776</v>
      </c>
      <c r="C308" s="11" t="n">
        <v>1</v>
      </c>
      <c r="D308" s="11" t="n">
        <v>1</v>
      </c>
      <c r="E308" s="11" t="n">
        <v>38</v>
      </c>
      <c r="F308" s="11" t="n">
        <v>13</v>
      </c>
      <c r="G308" s="11" t="n">
        <v>1</v>
      </c>
      <c r="H308" s="13" t="n">
        <v>32</v>
      </c>
      <c r="I308" s="16" t="n">
        <v>0</v>
      </c>
      <c r="J308" s="13" t="n">
        <f aca="false">G308*H308</f>
        <v>32</v>
      </c>
      <c r="K308" s="13" t="n">
        <f aca="false">J308*(1-I308)</f>
        <v>32</v>
      </c>
    </row>
    <row r="309" customFormat="false" ht="15" hidden="false" customHeight="false" outlineLevel="0" collapsed="false">
      <c r="A309" s="11" t="n">
        <v>308</v>
      </c>
      <c r="B309" s="15" t="n">
        <v>45776</v>
      </c>
      <c r="C309" s="11" t="n">
        <v>4</v>
      </c>
      <c r="D309" s="11" t="n">
        <v>8</v>
      </c>
      <c r="E309" s="11" t="n">
        <v>41</v>
      </c>
      <c r="F309" s="11" t="n">
        <v>18</v>
      </c>
      <c r="G309" s="11" t="n">
        <v>2</v>
      </c>
      <c r="H309" s="13" t="n">
        <v>95</v>
      </c>
      <c r="I309" s="16" t="n">
        <v>0.15</v>
      </c>
      <c r="J309" s="13" t="n">
        <f aca="false">G309*H309</f>
        <v>190</v>
      </c>
      <c r="K309" s="13" t="n">
        <f aca="false">J309*(1-I309)</f>
        <v>161.5</v>
      </c>
    </row>
    <row r="310" customFormat="false" ht="15" hidden="false" customHeight="false" outlineLevel="0" collapsed="false">
      <c r="A310" s="11" t="n">
        <v>309</v>
      </c>
      <c r="B310" s="15" t="n">
        <v>45777</v>
      </c>
      <c r="C310" s="11" t="n">
        <v>2</v>
      </c>
      <c r="D310" s="11" t="n">
        <v>4</v>
      </c>
      <c r="E310" s="11" t="n">
        <v>1</v>
      </c>
      <c r="F310" s="11" t="n">
        <v>9</v>
      </c>
      <c r="G310" s="11" t="n">
        <v>1</v>
      </c>
      <c r="H310" s="13" t="n">
        <v>40</v>
      </c>
      <c r="I310" s="16" t="n">
        <v>0</v>
      </c>
      <c r="J310" s="13" t="n">
        <f aca="false">G310*H310</f>
        <v>40</v>
      </c>
      <c r="K310" s="13" t="n">
        <f aca="false">J310*(1-I310)</f>
        <v>40</v>
      </c>
    </row>
    <row r="311" customFormat="false" ht="15" hidden="false" customHeight="false" outlineLevel="0" collapsed="false">
      <c r="A311" s="11" t="n">
        <v>310</v>
      </c>
      <c r="B311" s="15" t="n">
        <v>45778</v>
      </c>
      <c r="C311" s="11" t="n">
        <v>3</v>
      </c>
      <c r="D311" s="11" t="n">
        <v>7</v>
      </c>
      <c r="E311" s="11" t="n">
        <v>1</v>
      </c>
      <c r="F311" s="11" t="n">
        <v>10</v>
      </c>
      <c r="G311" s="11" t="n">
        <v>5</v>
      </c>
      <c r="H311" s="13" t="n">
        <v>70</v>
      </c>
      <c r="I311" s="16" t="n">
        <v>0</v>
      </c>
      <c r="J311" s="13" t="n">
        <f aca="false">G311*H311</f>
        <v>350</v>
      </c>
      <c r="K311" s="13" t="n">
        <f aca="false">J311*(1-I311)</f>
        <v>350</v>
      </c>
    </row>
    <row r="312" customFormat="false" ht="15" hidden="false" customHeight="false" outlineLevel="0" collapsed="false">
      <c r="A312" s="11" t="n">
        <v>311</v>
      </c>
      <c r="B312" s="15" t="n">
        <v>45778</v>
      </c>
      <c r="C312" s="11" t="n">
        <v>4</v>
      </c>
      <c r="D312" s="11" t="n">
        <v>8</v>
      </c>
      <c r="E312" s="11" t="n">
        <v>1</v>
      </c>
      <c r="F312" s="11" t="n">
        <v>14</v>
      </c>
      <c r="G312" s="11" t="n">
        <v>1</v>
      </c>
      <c r="H312" s="13" t="n">
        <v>38</v>
      </c>
      <c r="I312" s="16" t="n">
        <v>0</v>
      </c>
      <c r="J312" s="13" t="n">
        <f aca="false">G312*H312</f>
        <v>38</v>
      </c>
      <c r="K312" s="13" t="n">
        <f aca="false">J312*(1-I312)</f>
        <v>38</v>
      </c>
    </row>
    <row r="313" customFormat="false" ht="15" hidden="false" customHeight="false" outlineLevel="0" collapsed="false">
      <c r="A313" s="11" t="n">
        <v>312</v>
      </c>
      <c r="B313" s="15" t="n">
        <v>45778</v>
      </c>
      <c r="C313" s="11" t="n">
        <v>4</v>
      </c>
      <c r="D313" s="11" t="n">
        <v>8</v>
      </c>
      <c r="E313" s="11" t="n">
        <v>59</v>
      </c>
      <c r="F313" s="11" t="n">
        <v>20</v>
      </c>
      <c r="G313" s="11" t="n">
        <v>1</v>
      </c>
      <c r="H313" s="13" t="n">
        <v>88</v>
      </c>
      <c r="I313" s="16" t="n">
        <v>0.1</v>
      </c>
      <c r="J313" s="13" t="n">
        <f aca="false">G313*H313</f>
        <v>88</v>
      </c>
      <c r="K313" s="13" t="n">
        <f aca="false">J313*(1-I313)</f>
        <v>79.2</v>
      </c>
    </row>
    <row r="314" customFormat="false" ht="15" hidden="false" customHeight="false" outlineLevel="0" collapsed="false">
      <c r="A314" s="11" t="n">
        <v>313</v>
      </c>
      <c r="B314" s="15" t="n">
        <v>45780</v>
      </c>
      <c r="C314" s="11" t="n">
        <v>1</v>
      </c>
      <c r="D314" s="11" t="n">
        <v>1</v>
      </c>
      <c r="E314" s="11" t="n">
        <v>47</v>
      </c>
      <c r="F314" s="11" t="n">
        <v>19</v>
      </c>
      <c r="G314" s="11" t="n">
        <v>1</v>
      </c>
      <c r="H314" s="13" t="n">
        <v>125</v>
      </c>
      <c r="I314" s="16" t="n">
        <v>0</v>
      </c>
      <c r="J314" s="13" t="n">
        <f aca="false">G314*H314</f>
        <v>125</v>
      </c>
      <c r="K314" s="13" t="n">
        <f aca="false">J314*(1-I314)</f>
        <v>125</v>
      </c>
    </row>
    <row r="315" customFormat="false" ht="15" hidden="false" customHeight="false" outlineLevel="0" collapsed="false">
      <c r="A315" s="11" t="n">
        <v>314</v>
      </c>
      <c r="B315" s="15" t="n">
        <v>45780</v>
      </c>
      <c r="C315" s="11" t="n">
        <v>1</v>
      </c>
      <c r="D315" s="11" t="n">
        <v>3</v>
      </c>
      <c r="E315" s="11" t="n">
        <v>27</v>
      </c>
      <c r="F315" s="11" t="n">
        <v>16</v>
      </c>
      <c r="G315" s="11" t="n">
        <v>1</v>
      </c>
      <c r="H315" s="13" t="n">
        <v>45</v>
      </c>
      <c r="I315" s="16" t="n">
        <v>0</v>
      </c>
      <c r="J315" s="13" t="n">
        <f aca="false">G315*H315</f>
        <v>45</v>
      </c>
      <c r="K315" s="13" t="n">
        <f aca="false">J315*(1-I315)</f>
        <v>45</v>
      </c>
    </row>
    <row r="316" customFormat="false" ht="15" hidden="false" customHeight="false" outlineLevel="0" collapsed="false">
      <c r="A316" s="11" t="n">
        <v>315</v>
      </c>
      <c r="B316" s="15" t="n">
        <v>45781</v>
      </c>
      <c r="C316" s="11" t="n">
        <v>4</v>
      </c>
      <c r="D316" s="11" t="n">
        <v>9</v>
      </c>
      <c r="E316" s="11" t="n">
        <v>7</v>
      </c>
      <c r="F316" s="11" t="n">
        <v>17</v>
      </c>
      <c r="G316" s="11" t="n">
        <v>3</v>
      </c>
      <c r="H316" s="13" t="n">
        <v>28</v>
      </c>
      <c r="I316" s="16" t="n">
        <v>0</v>
      </c>
      <c r="J316" s="13" t="n">
        <f aca="false">G316*H316</f>
        <v>84</v>
      </c>
      <c r="K316" s="13" t="n">
        <f aca="false">J316*(1-I316)</f>
        <v>84</v>
      </c>
    </row>
    <row r="317" customFormat="false" ht="15" hidden="false" customHeight="false" outlineLevel="0" collapsed="false">
      <c r="A317" s="11" t="n">
        <v>316</v>
      </c>
      <c r="B317" s="15" t="n">
        <v>45781</v>
      </c>
      <c r="C317" s="11" t="n">
        <v>4</v>
      </c>
      <c r="D317" s="11" t="n">
        <v>9</v>
      </c>
      <c r="E317" s="11" t="n">
        <v>38</v>
      </c>
      <c r="F317" s="11" t="n">
        <v>19</v>
      </c>
      <c r="G317" s="11" t="n">
        <v>4</v>
      </c>
      <c r="H317" s="13" t="n">
        <v>125</v>
      </c>
      <c r="I317" s="16" t="n">
        <v>0</v>
      </c>
      <c r="J317" s="13" t="n">
        <f aca="false">G317*H317</f>
        <v>500</v>
      </c>
      <c r="K317" s="13" t="n">
        <f aca="false">J317*(1-I317)</f>
        <v>500</v>
      </c>
    </row>
    <row r="318" customFormat="false" ht="15" hidden="false" customHeight="false" outlineLevel="0" collapsed="false">
      <c r="A318" s="11" t="n">
        <v>317</v>
      </c>
      <c r="B318" s="15" t="n">
        <v>45781</v>
      </c>
      <c r="C318" s="11" t="n">
        <v>2</v>
      </c>
      <c r="D318" s="11" t="n">
        <v>4</v>
      </c>
      <c r="E318" s="11" t="n">
        <v>1</v>
      </c>
      <c r="F318" s="11" t="n">
        <v>2</v>
      </c>
      <c r="G318" s="11" t="n">
        <v>2</v>
      </c>
      <c r="H318" s="13" t="n">
        <v>45</v>
      </c>
      <c r="I318" s="16" t="n">
        <v>0</v>
      </c>
      <c r="J318" s="13" t="n">
        <f aca="false">G318*H318</f>
        <v>90</v>
      </c>
      <c r="K318" s="13" t="n">
        <f aca="false">J318*(1-I318)</f>
        <v>90</v>
      </c>
    </row>
    <row r="319" customFormat="false" ht="15" hidden="false" customHeight="false" outlineLevel="0" collapsed="false">
      <c r="A319" s="11" t="n">
        <v>318</v>
      </c>
      <c r="B319" s="15" t="n">
        <v>45781</v>
      </c>
      <c r="C319" s="11" t="n">
        <v>4</v>
      </c>
      <c r="D319" s="11" t="n">
        <v>9</v>
      </c>
      <c r="E319" s="11" t="n">
        <v>27</v>
      </c>
      <c r="F319" s="11" t="n">
        <v>6</v>
      </c>
      <c r="G319" s="11" t="n">
        <v>2</v>
      </c>
      <c r="H319" s="13" t="n">
        <v>62</v>
      </c>
      <c r="I319" s="16" t="n">
        <v>0</v>
      </c>
      <c r="J319" s="13" t="n">
        <f aca="false">G319*H319</f>
        <v>124</v>
      </c>
      <c r="K319" s="13" t="n">
        <f aca="false">J319*(1-I319)</f>
        <v>124</v>
      </c>
    </row>
    <row r="320" customFormat="false" ht="15" hidden="false" customHeight="false" outlineLevel="0" collapsed="false">
      <c r="A320" s="11" t="n">
        <v>319</v>
      </c>
      <c r="B320" s="15" t="n">
        <v>45782</v>
      </c>
      <c r="C320" s="11" t="n">
        <v>4</v>
      </c>
      <c r="D320" s="11" t="n">
        <v>8</v>
      </c>
      <c r="E320" s="11" t="n">
        <v>5</v>
      </c>
      <c r="F320" s="11" t="n">
        <v>18</v>
      </c>
      <c r="G320" s="11" t="n">
        <v>1</v>
      </c>
      <c r="H320" s="13" t="n">
        <v>95</v>
      </c>
      <c r="I320" s="16" t="n">
        <v>0</v>
      </c>
      <c r="J320" s="13" t="n">
        <f aca="false">G320*H320</f>
        <v>95</v>
      </c>
      <c r="K320" s="13" t="n">
        <f aca="false">J320*(1-I320)</f>
        <v>95</v>
      </c>
    </row>
    <row r="321" customFormat="false" ht="15" hidden="false" customHeight="false" outlineLevel="0" collapsed="false">
      <c r="A321" s="11" t="n">
        <v>320</v>
      </c>
      <c r="B321" s="15" t="n">
        <v>45782</v>
      </c>
      <c r="C321" s="11" t="n">
        <v>2</v>
      </c>
      <c r="D321" s="11" t="n">
        <v>5</v>
      </c>
      <c r="E321" s="11" t="n">
        <v>47</v>
      </c>
      <c r="F321" s="11" t="n">
        <v>12</v>
      </c>
      <c r="G321" s="11" t="n">
        <v>5</v>
      </c>
      <c r="H321" s="13" t="n">
        <v>45</v>
      </c>
      <c r="I321" s="16" t="n">
        <v>0</v>
      </c>
      <c r="J321" s="13" t="n">
        <f aca="false">G321*H321</f>
        <v>225</v>
      </c>
      <c r="K321" s="13" t="n">
        <f aca="false">J321*(1-I321)</f>
        <v>225</v>
      </c>
    </row>
    <row r="322" customFormat="false" ht="15" hidden="false" customHeight="false" outlineLevel="0" collapsed="false">
      <c r="A322" s="11" t="n">
        <v>321</v>
      </c>
      <c r="B322" s="15" t="n">
        <v>45782</v>
      </c>
      <c r="C322" s="11" t="n">
        <v>1</v>
      </c>
      <c r="D322" s="11" t="n">
        <v>2</v>
      </c>
      <c r="E322" s="11" t="n">
        <v>18</v>
      </c>
      <c r="F322" s="11" t="n">
        <v>14</v>
      </c>
      <c r="G322" s="11" t="n">
        <v>1</v>
      </c>
      <c r="H322" s="13" t="n">
        <v>38</v>
      </c>
      <c r="I322" s="16" t="n">
        <v>0</v>
      </c>
      <c r="J322" s="13" t="n">
        <f aca="false">G322*H322</f>
        <v>38</v>
      </c>
      <c r="K322" s="13" t="n">
        <f aca="false">J322*(1-I322)</f>
        <v>38</v>
      </c>
    </row>
    <row r="323" customFormat="false" ht="15" hidden="false" customHeight="false" outlineLevel="0" collapsed="false">
      <c r="A323" s="11" t="n">
        <v>322</v>
      </c>
      <c r="B323" s="15" t="n">
        <v>45782</v>
      </c>
      <c r="C323" s="11" t="n">
        <v>4</v>
      </c>
      <c r="D323" s="11" t="n">
        <v>8</v>
      </c>
      <c r="E323" s="11" t="n">
        <v>15</v>
      </c>
      <c r="F323" s="11" t="n">
        <v>3</v>
      </c>
      <c r="G323" s="11" t="n">
        <v>1</v>
      </c>
      <c r="H323" s="13" t="n">
        <v>38</v>
      </c>
      <c r="I323" s="16" t="n">
        <v>0</v>
      </c>
      <c r="J323" s="13" t="n">
        <f aca="false">G323*H323</f>
        <v>38</v>
      </c>
      <c r="K323" s="13" t="n">
        <f aca="false">J323*(1-I323)</f>
        <v>38</v>
      </c>
    </row>
    <row r="324" customFormat="false" ht="15" hidden="false" customHeight="false" outlineLevel="0" collapsed="false">
      <c r="A324" s="11" t="n">
        <v>323</v>
      </c>
      <c r="B324" s="15" t="n">
        <v>45782</v>
      </c>
      <c r="C324" s="11" t="n">
        <v>3</v>
      </c>
      <c r="D324" s="11" t="n">
        <v>7</v>
      </c>
      <c r="E324" s="11" t="n">
        <v>48</v>
      </c>
      <c r="F324" s="11" t="n">
        <v>12</v>
      </c>
      <c r="G324" s="11" t="n">
        <v>4</v>
      </c>
      <c r="H324" s="13" t="n">
        <v>45</v>
      </c>
      <c r="I324" s="16" t="n">
        <v>0</v>
      </c>
      <c r="J324" s="13" t="n">
        <f aca="false">G324*H324</f>
        <v>180</v>
      </c>
      <c r="K324" s="13" t="n">
        <f aca="false">J324*(1-I324)</f>
        <v>180</v>
      </c>
    </row>
    <row r="325" customFormat="false" ht="15" hidden="false" customHeight="false" outlineLevel="0" collapsed="false">
      <c r="A325" s="11" t="n">
        <v>324</v>
      </c>
      <c r="B325" s="15" t="n">
        <v>45783</v>
      </c>
      <c r="C325" s="11" t="n">
        <v>3</v>
      </c>
      <c r="D325" s="11" t="n">
        <v>6</v>
      </c>
      <c r="E325" s="11" t="n">
        <v>27</v>
      </c>
      <c r="F325" s="11" t="n">
        <v>12</v>
      </c>
      <c r="G325" s="11" t="n">
        <v>1</v>
      </c>
      <c r="H325" s="13" t="n">
        <v>45</v>
      </c>
      <c r="I325" s="16" t="n">
        <v>0</v>
      </c>
      <c r="J325" s="13" t="n">
        <f aca="false">G325*H325</f>
        <v>45</v>
      </c>
      <c r="K325" s="13" t="n">
        <f aca="false">J325*(1-I325)</f>
        <v>45</v>
      </c>
    </row>
    <row r="326" customFormat="false" ht="15" hidden="false" customHeight="false" outlineLevel="0" collapsed="false">
      <c r="A326" s="11" t="n">
        <v>325</v>
      </c>
      <c r="B326" s="15" t="n">
        <v>45783</v>
      </c>
      <c r="C326" s="11" t="n">
        <v>1</v>
      </c>
      <c r="D326" s="11" t="n">
        <v>1</v>
      </c>
      <c r="E326" s="11" t="n">
        <v>40</v>
      </c>
      <c r="F326" s="11" t="n">
        <v>18</v>
      </c>
      <c r="G326" s="11" t="n">
        <v>1</v>
      </c>
      <c r="H326" s="13" t="n">
        <v>95</v>
      </c>
      <c r="I326" s="16" t="n">
        <v>0</v>
      </c>
      <c r="J326" s="13" t="n">
        <f aca="false">G326*H326</f>
        <v>95</v>
      </c>
      <c r="K326" s="13" t="n">
        <f aca="false">J326*(1-I326)</f>
        <v>95</v>
      </c>
    </row>
    <row r="327" customFormat="false" ht="15" hidden="false" customHeight="false" outlineLevel="0" collapsed="false">
      <c r="A327" s="11" t="n">
        <v>326</v>
      </c>
      <c r="B327" s="15" t="n">
        <v>45783</v>
      </c>
      <c r="C327" s="11" t="n">
        <v>4</v>
      </c>
      <c r="D327" s="11" t="n">
        <v>8</v>
      </c>
      <c r="E327" s="11" t="n">
        <v>37</v>
      </c>
      <c r="F327" s="11" t="n">
        <v>18</v>
      </c>
      <c r="G327" s="11" t="n">
        <v>3</v>
      </c>
      <c r="H327" s="13" t="n">
        <v>95</v>
      </c>
      <c r="I327" s="16" t="n">
        <v>0</v>
      </c>
      <c r="J327" s="13" t="n">
        <f aca="false">G327*H327</f>
        <v>285</v>
      </c>
      <c r="K327" s="13" t="n">
        <f aca="false">J327*(1-I327)</f>
        <v>285</v>
      </c>
    </row>
    <row r="328" customFormat="false" ht="15" hidden="false" customHeight="false" outlineLevel="0" collapsed="false">
      <c r="A328" s="11" t="n">
        <v>327</v>
      </c>
      <c r="B328" s="15" t="n">
        <v>45785</v>
      </c>
      <c r="C328" s="11" t="n">
        <v>4</v>
      </c>
      <c r="D328" s="11" t="n">
        <v>8</v>
      </c>
      <c r="E328" s="11" t="n">
        <v>18</v>
      </c>
      <c r="F328" s="11" t="n">
        <v>15</v>
      </c>
      <c r="G328" s="11" t="n">
        <v>1</v>
      </c>
      <c r="H328" s="13" t="n">
        <v>65</v>
      </c>
      <c r="I328" s="16" t="n">
        <v>0</v>
      </c>
      <c r="J328" s="13" t="n">
        <f aca="false">G328*H328</f>
        <v>65</v>
      </c>
      <c r="K328" s="13" t="n">
        <f aca="false">J328*(1-I328)</f>
        <v>65</v>
      </c>
    </row>
    <row r="329" customFormat="false" ht="15" hidden="false" customHeight="false" outlineLevel="0" collapsed="false">
      <c r="A329" s="11" t="n">
        <v>328</v>
      </c>
      <c r="B329" s="15" t="n">
        <v>45785</v>
      </c>
      <c r="C329" s="11" t="n">
        <v>4</v>
      </c>
      <c r="D329" s="11" t="n">
        <v>9</v>
      </c>
      <c r="E329" s="11" t="n">
        <v>7</v>
      </c>
      <c r="F329" s="11" t="n">
        <v>4</v>
      </c>
      <c r="G329" s="11" t="n">
        <v>1</v>
      </c>
      <c r="H329" s="13" t="n">
        <v>55</v>
      </c>
      <c r="I329" s="16" t="n">
        <v>0</v>
      </c>
      <c r="J329" s="13" t="n">
        <f aca="false">G329*H329</f>
        <v>55</v>
      </c>
      <c r="K329" s="13" t="n">
        <f aca="false">J329*(1-I329)</f>
        <v>55</v>
      </c>
    </row>
    <row r="330" customFormat="false" ht="15" hidden="false" customHeight="false" outlineLevel="0" collapsed="false">
      <c r="A330" s="11" t="n">
        <v>329</v>
      </c>
      <c r="B330" s="15" t="n">
        <v>45785</v>
      </c>
      <c r="C330" s="11" t="n">
        <v>1</v>
      </c>
      <c r="D330" s="11" t="n">
        <v>2</v>
      </c>
      <c r="E330" s="11" t="n">
        <v>16</v>
      </c>
      <c r="F330" s="11" t="n">
        <v>15</v>
      </c>
      <c r="G330" s="11" t="n">
        <v>2</v>
      </c>
      <c r="H330" s="13" t="n">
        <v>65</v>
      </c>
      <c r="I330" s="16" t="n">
        <v>0.1</v>
      </c>
      <c r="J330" s="13" t="n">
        <f aca="false">G330*H330</f>
        <v>130</v>
      </c>
      <c r="K330" s="13" t="n">
        <f aca="false">J330*(1-I330)</f>
        <v>117</v>
      </c>
    </row>
    <row r="331" customFormat="false" ht="15" hidden="false" customHeight="false" outlineLevel="0" collapsed="false">
      <c r="A331" s="11" t="n">
        <v>330</v>
      </c>
      <c r="B331" s="15" t="n">
        <v>45785</v>
      </c>
      <c r="C331" s="11" t="n">
        <v>3</v>
      </c>
      <c r="D331" s="11" t="n">
        <v>7</v>
      </c>
      <c r="E331" s="11" t="n">
        <v>37</v>
      </c>
      <c r="F331" s="11" t="n">
        <v>2</v>
      </c>
      <c r="G331" s="11" t="n">
        <v>2</v>
      </c>
      <c r="H331" s="13" t="n">
        <v>45</v>
      </c>
      <c r="I331" s="16" t="n">
        <v>0.1</v>
      </c>
      <c r="J331" s="13" t="n">
        <f aca="false">G331*H331</f>
        <v>90</v>
      </c>
      <c r="K331" s="13" t="n">
        <f aca="false">J331*(1-I331)</f>
        <v>81</v>
      </c>
    </row>
    <row r="332" customFormat="false" ht="15" hidden="false" customHeight="false" outlineLevel="0" collapsed="false">
      <c r="A332" s="11" t="n">
        <v>331</v>
      </c>
      <c r="B332" s="15" t="n">
        <v>45785</v>
      </c>
      <c r="C332" s="11" t="n">
        <v>2</v>
      </c>
      <c r="D332" s="11" t="n">
        <v>4</v>
      </c>
      <c r="E332" s="11" t="n">
        <v>30</v>
      </c>
      <c r="F332" s="11" t="n">
        <v>2</v>
      </c>
      <c r="G332" s="11" t="n">
        <v>1</v>
      </c>
      <c r="H332" s="13" t="n">
        <v>45</v>
      </c>
      <c r="I332" s="16" t="n">
        <v>0</v>
      </c>
      <c r="J332" s="13" t="n">
        <f aca="false">G332*H332</f>
        <v>45</v>
      </c>
      <c r="K332" s="13" t="n">
        <f aca="false">J332*(1-I332)</f>
        <v>45</v>
      </c>
    </row>
    <row r="333" customFormat="false" ht="15" hidden="false" customHeight="false" outlineLevel="0" collapsed="false">
      <c r="A333" s="11" t="n">
        <v>332</v>
      </c>
      <c r="B333" s="15" t="n">
        <v>45786</v>
      </c>
      <c r="C333" s="11" t="n">
        <v>1</v>
      </c>
      <c r="D333" s="11" t="n">
        <v>3</v>
      </c>
      <c r="E333" s="11" t="n">
        <v>13</v>
      </c>
      <c r="F333" s="11" t="n">
        <v>11</v>
      </c>
      <c r="G333" s="11" t="n">
        <v>1</v>
      </c>
      <c r="H333" s="13" t="n">
        <v>72</v>
      </c>
      <c r="I333" s="16" t="n">
        <v>0</v>
      </c>
      <c r="J333" s="13" t="n">
        <f aca="false">G333*H333</f>
        <v>72</v>
      </c>
      <c r="K333" s="13" t="n">
        <f aca="false">J333*(1-I333)</f>
        <v>72</v>
      </c>
    </row>
    <row r="334" customFormat="false" ht="15" hidden="false" customHeight="false" outlineLevel="0" collapsed="false">
      <c r="A334" s="11" t="n">
        <v>333</v>
      </c>
      <c r="B334" s="15" t="n">
        <v>45786</v>
      </c>
      <c r="C334" s="11" t="n">
        <v>4</v>
      </c>
      <c r="D334" s="11" t="n">
        <v>9</v>
      </c>
      <c r="E334" s="11" t="n">
        <v>24</v>
      </c>
      <c r="F334" s="11" t="n">
        <v>4</v>
      </c>
      <c r="G334" s="11" t="n">
        <v>4</v>
      </c>
      <c r="H334" s="13" t="n">
        <v>55</v>
      </c>
      <c r="I334" s="16" t="n">
        <v>0</v>
      </c>
      <c r="J334" s="13" t="n">
        <f aca="false">G334*H334</f>
        <v>220</v>
      </c>
      <c r="K334" s="13" t="n">
        <f aca="false">J334*(1-I334)</f>
        <v>220</v>
      </c>
    </row>
    <row r="335" customFormat="false" ht="15" hidden="false" customHeight="false" outlineLevel="0" collapsed="false">
      <c r="A335" s="11" t="n">
        <v>334</v>
      </c>
      <c r="B335" s="15" t="n">
        <v>45786</v>
      </c>
      <c r="C335" s="11" t="n">
        <v>1</v>
      </c>
      <c r="D335" s="11" t="n">
        <v>1</v>
      </c>
      <c r="E335" s="11" t="n">
        <v>45</v>
      </c>
      <c r="F335" s="11" t="n">
        <v>10</v>
      </c>
      <c r="G335" s="11" t="n">
        <v>1</v>
      </c>
      <c r="H335" s="13" t="n">
        <v>70</v>
      </c>
      <c r="I335" s="16" t="n">
        <v>0</v>
      </c>
      <c r="J335" s="13" t="n">
        <f aca="false">G335*H335</f>
        <v>70</v>
      </c>
      <c r="K335" s="13" t="n">
        <f aca="false">J335*(1-I335)</f>
        <v>70</v>
      </c>
    </row>
    <row r="336" customFormat="false" ht="15" hidden="false" customHeight="false" outlineLevel="0" collapsed="false">
      <c r="A336" s="11" t="n">
        <v>335</v>
      </c>
      <c r="B336" s="15" t="n">
        <v>45786</v>
      </c>
      <c r="C336" s="11" t="n">
        <v>1</v>
      </c>
      <c r="D336" s="11" t="n">
        <v>1</v>
      </c>
      <c r="E336" s="11" t="n">
        <v>17</v>
      </c>
      <c r="F336" s="11" t="n">
        <v>19</v>
      </c>
      <c r="G336" s="11" t="n">
        <v>1</v>
      </c>
      <c r="H336" s="13" t="n">
        <v>125</v>
      </c>
      <c r="I336" s="16" t="n">
        <v>0</v>
      </c>
      <c r="J336" s="13" t="n">
        <f aca="false">G336*H336</f>
        <v>125</v>
      </c>
      <c r="K336" s="13" t="n">
        <f aca="false">J336*(1-I336)</f>
        <v>125</v>
      </c>
    </row>
    <row r="337" customFormat="false" ht="15" hidden="false" customHeight="false" outlineLevel="0" collapsed="false">
      <c r="A337" s="11" t="n">
        <v>336</v>
      </c>
      <c r="B337" s="15" t="n">
        <v>45786</v>
      </c>
      <c r="C337" s="11" t="n">
        <v>1</v>
      </c>
      <c r="D337" s="11" t="n">
        <v>2</v>
      </c>
      <c r="E337" s="11" t="n">
        <v>59</v>
      </c>
      <c r="F337" s="11" t="n">
        <v>8</v>
      </c>
      <c r="G337" s="11" t="n">
        <v>1</v>
      </c>
      <c r="H337" s="13" t="n">
        <v>52</v>
      </c>
      <c r="I337" s="16" t="n">
        <v>0</v>
      </c>
      <c r="J337" s="13" t="n">
        <f aca="false">G337*H337</f>
        <v>52</v>
      </c>
      <c r="K337" s="13" t="n">
        <f aca="false">J337*(1-I337)</f>
        <v>52</v>
      </c>
    </row>
    <row r="338" customFormat="false" ht="15" hidden="false" customHeight="false" outlineLevel="0" collapsed="false">
      <c r="A338" s="11" t="n">
        <v>337</v>
      </c>
      <c r="B338" s="15" t="n">
        <v>45786</v>
      </c>
      <c r="C338" s="11" t="n">
        <v>1</v>
      </c>
      <c r="D338" s="11" t="n">
        <v>1</v>
      </c>
      <c r="E338" s="11" t="n">
        <v>35</v>
      </c>
      <c r="F338" s="11" t="n">
        <v>6</v>
      </c>
      <c r="G338" s="11" t="n">
        <v>1</v>
      </c>
      <c r="H338" s="13" t="n">
        <v>62</v>
      </c>
      <c r="I338" s="16" t="n">
        <v>0</v>
      </c>
      <c r="J338" s="13" t="n">
        <f aca="false">G338*H338</f>
        <v>62</v>
      </c>
      <c r="K338" s="13" t="n">
        <f aca="false">J338*(1-I338)</f>
        <v>62</v>
      </c>
    </row>
    <row r="339" customFormat="false" ht="15" hidden="false" customHeight="false" outlineLevel="0" collapsed="false">
      <c r="A339" s="11" t="n">
        <v>338</v>
      </c>
      <c r="B339" s="15" t="n">
        <v>45786</v>
      </c>
      <c r="C339" s="11" t="n">
        <v>1</v>
      </c>
      <c r="D339" s="11" t="n">
        <v>2</v>
      </c>
      <c r="E339" s="11" t="n">
        <v>16</v>
      </c>
      <c r="F339" s="11" t="n">
        <v>11</v>
      </c>
      <c r="G339" s="11" t="n">
        <v>3</v>
      </c>
      <c r="H339" s="13" t="n">
        <v>72</v>
      </c>
      <c r="I339" s="16" t="n">
        <v>0.05</v>
      </c>
      <c r="J339" s="13" t="n">
        <f aca="false">G339*H339</f>
        <v>216</v>
      </c>
      <c r="K339" s="13" t="n">
        <f aca="false">J339*(1-I339)</f>
        <v>205.2</v>
      </c>
    </row>
    <row r="340" customFormat="false" ht="15" hidden="false" customHeight="false" outlineLevel="0" collapsed="false">
      <c r="A340" s="11" t="n">
        <v>339</v>
      </c>
      <c r="B340" s="15" t="n">
        <v>45787</v>
      </c>
      <c r="C340" s="11" t="n">
        <v>3</v>
      </c>
      <c r="D340" s="11" t="n">
        <v>6</v>
      </c>
      <c r="E340" s="11" t="n">
        <v>12</v>
      </c>
      <c r="F340" s="11" t="n">
        <v>20</v>
      </c>
      <c r="G340" s="11" t="n">
        <v>3</v>
      </c>
      <c r="H340" s="13" t="n">
        <v>88</v>
      </c>
      <c r="I340" s="16" t="n">
        <v>0.05</v>
      </c>
      <c r="J340" s="13" t="n">
        <f aca="false">G340*H340</f>
        <v>264</v>
      </c>
      <c r="K340" s="13" t="n">
        <f aca="false">J340*(1-I340)</f>
        <v>250.8</v>
      </c>
    </row>
    <row r="341" customFormat="false" ht="15" hidden="false" customHeight="false" outlineLevel="0" collapsed="false">
      <c r="A341" s="11" t="n">
        <v>340</v>
      </c>
      <c r="B341" s="15" t="n">
        <v>45787</v>
      </c>
      <c r="C341" s="11" t="n">
        <v>4</v>
      </c>
      <c r="D341" s="11" t="n">
        <v>9</v>
      </c>
      <c r="E341" s="11" t="n">
        <v>24</v>
      </c>
      <c r="F341" s="11" t="n">
        <v>15</v>
      </c>
      <c r="G341" s="11" t="n">
        <v>2</v>
      </c>
      <c r="H341" s="13" t="n">
        <v>65</v>
      </c>
      <c r="I341" s="16" t="n">
        <v>0</v>
      </c>
      <c r="J341" s="13" t="n">
        <f aca="false">G341*H341</f>
        <v>130</v>
      </c>
      <c r="K341" s="13" t="n">
        <f aca="false">J341*(1-I341)</f>
        <v>130</v>
      </c>
    </row>
    <row r="342" customFormat="false" ht="15" hidden="false" customHeight="false" outlineLevel="0" collapsed="false">
      <c r="A342" s="11" t="n">
        <v>341</v>
      </c>
      <c r="B342" s="15" t="n">
        <v>45787</v>
      </c>
      <c r="C342" s="11" t="n">
        <v>2</v>
      </c>
      <c r="D342" s="11" t="n">
        <v>4</v>
      </c>
      <c r="E342" s="11" t="n">
        <v>7</v>
      </c>
      <c r="F342" s="11" t="n">
        <v>15</v>
      </c>
      <c r="G342" s="11" t="n">
        <v>3</v>
      </c>
      <c r="H342" s="13" t="n">
        <v>65</v>
      </c>
      <c r="I342" s="16" t="n">
        <v>0.1</v>
      </c>
      <c r="J342" s="13" t="n">
        <f aca="false">G342*H342</f>
        <v>195</v>
      </c>
      <c r="K342" s="13" t="n">
        <f aca="false">J342*(1-I342)</f>
        <v>175.5</v>
      </c>
    </row>
    <row r="343" customFormat="false" ht="15" hidden="false" customHeight="false" outlineLevel="0" collapsed="false">
      <c r="A343" s="11" t="n">
        <v>342</v>
      </c>
      <c r="B343" s="15" t="n">
        <v>45788</v>
      </c>
      <c r="C343" s="11" t="n">
        <v>4</v>
      </c>
      <c r="D343" s="11" t="n">
        <v>8</v>
      </c>
      <c r="E343" s="11" t="n">
        <v>47</v>
      </c>
      <c r="F343" s="11" t="n">
        <v>10</v>
      </c>
      <c r="G343" s="11" t="n">
        <v>1</v>
      </c>
      <c r="H343" s="13" t="n">
        <v>70</v>
      </c>
      <c r="I343" s="16" t="n">
        <v>0</v>
      </c>
      <c r="J343" s="13" t="n">
        <f aca="false">G343*H343</f>
        <v>70</v>
      </c>
      <c r="K343" s="13" t="n">
        <f aca="false">J343*(1-I343)</f>
        <v>70</v>
      </c>
    </row>
    <row r="344" customFormat="false" ht="15" hidden="false" customHeight="false" outlineLevel="0" collapsed="false">
      <c r="A344" s="11" t="n">
        <v>343</v>
      </c>
      <c r="B344" s="15" t="n">
        <v>45788</v>
      </c>
      <c r="C344" s="11" t="n">
        <v>4</v>
      </c>
      <c r="D344" s="11" t="n">
        <v>8</v>
      </c>
      <c r="E344" s="11" t="n">
        <v>57</v>
      </c>
      <c r="F344" s="11" t="n">
        <v>2</v>
      </c>
      <c r="G344" s="11" t="n">
        <v>1</v>
      </c>
      <c r="H344" s="13" t="n">
        <v>45</v>
      </c>
      <c r="I344" s="16" t="n">
        <v>0</v>
      </c>
      <c r="J344" s="13" t="n">
        <f aca="false">G344*H344</f>
        <v>45</v>
      </c>
      <c r="K344" s="13" t="n">
        <f aca="false">J344*(1-I344)</f>
        <v>45</v>
      </c>
    </row>
    <row r="345" customFormat="false" ht="15" hidden="false" customHeight="false" outlineLevel="0" collapsed="false">
      <c r="A345" s="11" t="n">
        <v>344</v>
      </c>
      <c r="B345" s="15" t="n">
        <v>45788</v>
      </c>
      <c r="C345" s="11" t="n">
        <v>1</v>
      </c>
      <c r="D345" s="11" t="n">
        <v>3</v>
      </c>
      <c r="E345" s="11" t="n">
        <v>25</v>
      </c>
      <c r="F345" s="11" t="n">
        <v>10</v>
      </c>
      <c r="G345" s="11" t="n">
        <v>1</v>
      </c>
      <c r="H345" s="13" t="n">
        <v>70</v>
      </c>
      <c r="I345" s="16" t="n">
        <v>0.05</v>
      </c>
      <c r="J345" s="13" t="n">
        <f aca="false">G345*H345</f>
        <v>70</v>
      </c>
      <c r="K345" s="13" t="n">
        <f aca="false">J345*(1-I345)</f>
        <v>66.5</v>
      </c>
    </row>
    <row r="346" customFormat="false" ht="15" hidden="false" customHeight="false" outlineLevel="0" collapsed="false">
      <c r="A346" s="11" t="n">
        <v>345</v>
      </c>
      <c r="B346" s="15" t="n">
        <v>45788</v>
      </c>
      <c r="C346" s="11" t="n">
        <v>1</v>
      </c>
      <c r="D346" s="11" t="n">
        <v>1</v>
      </c>
      <c r="E346" s="11" t="n">
        <v>5</v>
      </c>
      <c r="F346" s="11" t="n">
        <v>11</v>
      </c>
      <c r="G346" s="11" t="n">
        <v>1</v>
      </c>
      <c r="H346" s="13" t="n">
        <v>72</v>
      </c>
      <c r="I346" s="16" t="n">
        <v>0</v>
      </c>
      <c r="J346" s="13" t="n">
        <f aca="false">G346*H346</f>
        <v>72</v>
      </c>
      <c r="K346" s="13" t="n">
        <f aca="false">J346*(1-I346)</f>
        <v>72</v>
      </c>
    </row>
    <row r="347" customFormat="false" ht="15" hidden="false" customHeight="false" outlineLevel="0" collapsed="false">
      <c r="A347" s="11" t="n">
        <v>346</v>
      </c>
      <c r="B347" s="15" t="n">
        <v>45788</v>
      </c>
      <c r="C347" s="11" t="n">
        <v>4</v>
      </c>
      <c r="D347" s="11" t="n">
        <v>9</v>
      </c>
      <c r="E347" s="11" t="n">
        <v>42</v>
      </c>
      <c r="F347" s="11" t="n">
        <v>10</v>
      </c>
      <c r="G347" s="11" t="n">
        <v>1</v>
      </c>
      <c r="H347" s="13" t="n">
        <v>70</v>
      </c>
      <c r="I347" s="16" t="n">
        <v>0</v>
      </c>
      <c r="J347" s="13" t="n">
        <f aca="false">G347*H347</f>
        <v>70</v>
      </c>
      <c r="K347" s="13" t="n">
        <f aca="false">J347*(1-I347)</f>
        <v>70</v>
      </c>
    </row>
    <row r="348" customFormat="false" ht="15" hidden="false" customHeight="false" outlineLevel="0" collapsed="false">
      <c r="A348" s="11" t="n">
        <v>347</v>
      </c>
      <c r="B348" s="15" t="n">
        <v>45788</v>
      </c>
      <c r="C348" s="11" t="n">
        <v>4</v>
      </c>
      <c r="D348" s="11" t="n">
        <v>9</v>
      </c>
      <c r="E348" s="11" t="n">
        <v>18</v>
      </c>
      <c r="F348" s="11" t="n">
        <v>12</v>
      </c>
      <c r="G348" s="11" t="n">
        <v>1</v>
      </c>
      <c r="H348" s="13" t="n">
        <v>45</v>
      </c>
      <c r="I348" s="16" t="n">
        <v>0</v>
      </c>
      <c r="J348" s="13" t="n">
        <f aca="false">G348*H348</f>
        <v>45</v>
      </c>
      <c r="K348" s="13" t="n">
        <f aca="false">J348*(1-I348)</f>
        <v>45</v>
      </c>
    </row>
    <row r="349" customFormat="false" ht="15" hidden="false" customHeight="false" outlineLevel="0" collapsed="false">
      <c r="A349" s="11" t="n">
        <v>348</v>
      </c>
      <c r="B349" s="15" t="n">
        <v>45789</v>
      </c>
      <c r="C349" s="11" t="n">
        <v>4</v>
      </c>
      <c r="D349" s="11" t="n">
        <v>8</v>
      </c>
      <c r="E349" s="11" t="n">
        <v>9</v>
      </c>
      <c r="F349" s="11" t="n">
        <v>3</v>
      </c>
      <c r="G349" s="11" t="n">
        <v>1</v>
      </c>
      <c r="H349" s="13" t="n">
        <v>38</v>
      </c>
      <c r="I349" s="16" t="n">
        <v>0</v>
      </c>
      <c r="J349" s="13" t="n">
        <f aca="false">G349*H349</f>
        <v>38</v>
      </c>
      <c r="K349" s="13" t="n">
        <f aca="false">J349*(1-I349)</f>
        <v>38</v>
      </c>
    </row>
    <row r="350" customFormat="false" ht="15" hidden="false" customHeight="false" outlineLevel="0" collapsed="false">
      <c r="A350" s="11" t="n">
        <v>349</v>
      </c>
      <c r="B350" s="15" t="n">
        <v>45789</v>
      </c>
      <c r="C350" s="11" t="n">
        <v>1</v>
      </c>
      <c r="D350" s="11" t="n">
        <v>2</v>
      </c>
      <c r="E350" s="11" t="n">
        <v>20</v>
      </c>
      <c r="F350" s="11" t="n">
        <v>9</v>
      </c>
      <c r="G350" s="11" t="n">
        <v>3</v>
      </c>
      <c r="H350" s="13" t="n">
        <v>40</v>
      </c>
      <c r="I350" s="16" t="n">
        <v>0.05</v>
      </c>
      <c r="J350" s="13" t="n">
        <f aca="false">G350*H350</f>
        <v>120</v>
      </c>
      <c r="K350" s="13" t="n">
        <f aca="false">J350*(1-I350)</f>
        <v>114</v>
      </c>
    </row>
    <row r="351" customFormat="false" ht="15" hidden="false" customHeight="false" outlineLevel="0" collapsed="false">
      <c r="A351" s="11" t="n">
        <v>350</v>
      </c>
      <c r="B351" s="15" t="n">
        <v>45790</v>
      </c>
      <c r="C351" s="11" t="n">
        <v>3</v>
      </c>
      <c r="D351" s="11" t="n">
        <v>7</v>
      </c>
      <c r="E351" s="11" t="n">
        <v>11</v>
      </c>
      <c r="F351" s="11" t="n">
        <v>7</v>
      </c>
      <c r="G351" s="11" t="n">
        <v>3</v>
      </c>
      <c r="H351" s="13" t="n">
        <v>50</v>
      </c>
      <c r="I351" s="16" t="n">
        <v>0</v>
      </c>
      <c r="J351" s="13" t="n">
        <f aca="false">G351*H351</f>
        <v>150</v>
      </c>
      <c r="K351" s="13" t="n">
        <f aca="false">J351*(1-I351)</f>
        <v>150</v>
      </c>
    </row>
    <row r="352" customFormat="false" ht="15" hidden="false" customHeight="false" outlineLevel="0" collapsed="false">
      <c r="A352" s="11" t="n">
        <v>351</v>
      </c>
      <c r="B352" s="15" t="n">
        <v>45790</v>
      </c>
      <c r="C352" s="11" t="n">
        <v>5</v>
      </c>
      <c r="D352" s="11" t="n">
        <v>10</v>
      </c>
      <c r="E352" s="11" t="n">
        <v>17</v>
      </c>
      <c r="F352" s="11" t="n">
        <v>2</v>
      </c>
      <c r="G352" s="11" t="n">
        <v>2</v>
      </c>
      <c r="H352" s="13" t="n">
        <v>45</v>
      </c>
      <c r="I352" s="16" t="n">
        <v>0</v>
      </c>
      <c r="J352" s="13" t="n">
        <f aca="false">G352*H352</f>
        <v>90</v>
      </c>
      <c r="K352" s="13" t="n">
        <f aca="false">J352*(1-I352)</f>
        <v>90</v>
      </c>
    </row>
    <row r="353" customFormat="false" ht="15" hidden="false" customHeight="false" outlineLevel="0" collapsed="false">
      <c r="A353" s="11" t="n">
        <v>352</v>
      </c>
      <c r="B353" s="15" t="n">
        <v>45790</v>
      </c>
      <c r="C353" s="11" t="n">
        <v>1</v>
      </c>
      <c r="D353" s="11" t="n">
        <v>2</v>
      </c>
      <c r="E353" s="11" t="n">
        <v>25</v>
      </c>
      <c r="F353" s="11" t="n">
        <v>3</v>
      </c>
      <c r="G353" s="11" t="n">
        <v>2</v>
      </c>
      <c r="H353" s="13" t="n">
        <v>38</v>
      </c>
      <c r="I353" s="16" t="n">
        <v>0</v>
      </c>
      <c r="J353" s="13" t="n">
        <f aca="false">G353*H353</f>
        <v>76</v>
      </c>
      <c r="K353" s="13" t="n">
        <f aca="false">J353*(1-I353)</f>
        <v>76</v>
      </c>
    </row>
    <row r="354" customFormat="false" ht="15" hidden="false" customHeight="false" outlineLevel="0" collapsed="false">
      <c r="A354" s="11" t="n">
        <v>353</v>
      </c>
      <c r="B354" s="15" t="n">
        <v>45790</v>
      </c>
      <c r="C354" s="11" t="n">
        <v>2</v>
      </c>
      <c r="D354" s="11" t="n">
        <v>5</v>
      </c>
      <c r="E354" s="11" t="n">
        <v>15</v>
      </c>
      <c r="F354" s="11" t="n">
        <v>20</v>
      </c>
      <c r="G354" s="11" t="n">
        <v>2</v>
      </c>
      <c r="H354" s="13" t="n">
        <v>88</v>
      </c>
      <c r="I354" s="16" t="n">
        <v>0</v>
      </c>
      <c r="J354" s="13" t="n">
        <f aca="false">G354*H354</f>
        <v>176</v>
      </c>
      <c r="K354" s="13" t="n">
        <f aca="false">J354*(1-I354)</f>
        <v>176</v>
      </c>
    </row>
    <row r="355" customFormat="false" ht="15" hidden="false" customHeight="false" outlineLevel="0" collapsed="false">
      <c r="A355" s="11" t="n">
        <v>354</v>
      </c>
      <c r="B355" s="15" t="n">
        <v>45790</v>
      </c>
      <c r="C355" s="11" t="n">
        <v>3</v>
      </c>
      <c r="D355" s="11" t="n">
        <v>6</v>
      </c>
      <c r="E355" s="11" t="n">
        <v>20</v>
      </c>
      <c r="F355" s="11" t="n">
        <v>2</v>
      </c>
      <c r="G355" s="11" t="n">
        <v>2</v>
      </c>
      <c r="H355" s="13" t="n">
        <v>45</v>
      </c>
      <c r="I355" s="16" t="n">
        <v>0</v>
      </c>
      <c r="J355" s="13" t="n">
        <f aca="false">G355*H355</f>
        <v>90</v>
      </c>
      <c r="K355" s="13" t="n">
        <f aca="false">J355*(1-I355)</f>
        <v>90</v>
      </c>
    </row>
    <row r="356" customFormat="false" ht="15" hidden="false" customHeight="false" outlineLevel="0" collapsed="false">
      <c r="A356" s="11" t="n">
        <v>355</v>
      </c>
      <c r="B356" s="15" t="n">
        <v>45791</v>
      </c>
      <c r="C356" s="11" t="n">
        <v>5</v>
      </c>
      <c r="D356" s="11" t="n">
        <v>10</v>
      </c>
      <c r="E356" s="11" t="n">
        <v>11</v>
      </c>
      <c r="F356" s="11" t="n">
        <v>6</v>
      </c>
      <c r="G356" s="11" t="n">
        <v>1</v>
      </c>
      <c r="H356" s="13" t="n">
        <v>62</v>
      </c>
      <c r="I356" s="16" t="n">
        <v>0.05</v>
      </c>
      <c r="J356" s="13" t="n">
        <f aca="false">G356*H356</f>
        <v>62</v>
      </c>
      <c r="K356" s="13" t="n">
        <f aca="false">J356*(1-I356)</f>
        <v>58.9</v>
      </c>
    </row>
    <row r="357" customFormat="false" ht="15" hidden="false" customHeight="false" outlineLevel="0" collapsed="false">
      <c r="A357" s="11" t="n">
        <v>356</v>
      </c>
      <c r="B357" s="15" t="n">
        <v>45793</v>
      </c>
      <c r="C357" s="11" t="n">
        <v>2</v>
      </c>
      <c r="D357" s="11" t="n">
        <v>4</v>
      </c>
      <c r="E357" s="11" t="n">
        <v>2</v>
      </c>
      <c r="F357" s="11" t="n">
        <v>12</v>
      </c>
      <c r="G357" s="11" t="n">
        <v>2</v>
      </c>
      <c r="H357" s="13" t="n">
        <v>45</v>
      </c>
      <c r="I357" s="16" t="n">
        <v>0</v>
      </c>
      <c r="J357" s="13" t="n">
        <f aca="false">G357*H357</f>
        <v>90</v>
      </c>
      <c r="K357" s="13" t="n">
        <f aca="false">J357*(1-I357)</f>
        <v>90</v>
      </c>
    </row>
    <row r="358" customFormat="false" ht="15" hidden="false" customHeight="false" outlineLevel="0" collapsed="false">
      <c r="A358" s="11" t="n">
        <v>357</v>
      </c>
      <c r="B358" s="15" t="n">
        <v>45793</v>
      </c>
      <c r="C358" s="11" t="n">
        <v>4</v>
      </c>
      <c r="D358" s="11" t="n">
        <v>8</v>
      </c>
      <c r="E358" s="11" t="n">
        <v>17</v>
      </c>
      <c r="F358" s="11" t="n">
        <v>6</v>
      </c>
      <c r="G358" s="11" t="n">
        <v>2</v>
      </c>
      <c r="H358" s="13" t="n">
        <v>62</v>
      </c>
      <c r="I358" s="16" t="n">
        <v>0.05</v>
      </c>
      <c r="J358" s="13" t="n">
        <f aca="false">G358*H358</f>
        <v>124</v>
      </c>
      <c r="K358" s="13" t="n">
        <f aca="false">J358*(1-I358)</f>
        <v>117.8</v>
      </c>
    </row>
    <row r="359" customFormat="false" ht="15" hidden="false" customHeight="false" outlineLevel="0" collapsed="false">
      <c r="A359" s="11" t="n">
        <v>358</v>
      </c>
      <c r="B359" s="15" t="n">
        <v>45794</v>
      </c>
      <c r="C359" s="11" t="n">
        <v>1</v>
      </c>
      <c r="D359" s="11" t="n">
        <v>1</v>
      </c>
      <c r="E359" s="11" t="n">
        <v>41</v>
      </c>
      <c r="F359" s="11" t="n">
        <v>9</v>
      </c>
      <c r="G359" s="11" t="n">
        <v>3</v>
      </c>
      <c r="H359" s="13" t="n">
        <v>40</v>
      </c>
      <c r="I359" s="16" t="n">
        <v>0.05</v>
      </c>
      <c r="J359" s="13" t="n">
        <f aca="false">G359*H359</f>
        <v>120</v>
      </c>
      <c r="K359" s="13" t="n">
        <f aca="false">J359*(1-I359)</f>
        <v>114</v>
      </c>
    </row>
    <row r="360" customFormat="false" ht="15" hidden="false" customHeight="false" outlineLevel="0" collapsed="false">
      <c r="A360" s="11" t="n">
        <v>359</v>
      </c>
      <c r="B360" s="15" t="n">
        <v>45794</v>
      </c>
      <c r="C360" s="11" t="n">
        <v>1</v>
      </c>
      <c r="D360" s="11" t="n">
        <v>2</v>
      </c>
      <c r="E360" s="11" t="n">
        <v>24</v>
      </c>
      <c r="F360" s="11" t="n">
        <v>14</v>
      </c>
      <c r="G360" s="11" t="n">
        <v>1</v>
      </c>
      <c r="H360" s="13" t="n">
        <v>38</v>
      </c>
      <c r="I360" s="16" t="n">
        <v>0</v>
      </c>
      <c r="J360" s="13" t="n">
        <f aca="false">G360*H360</f>
        <v>38</v>
      </c>
      <c r="K360" s="13" t="n">
        <f aca="false">J360*(1-I360)</f>
        <v>38</v>
      </c>
    </row>
    <row r="361" customFormat="false" ht="15" hidden="false" customHeight="false" outlineLevel="0" collapsed="false">
      <c r="A361" s="11" t="n">
        <v>360</v>
      </c>
      <c r="B361" s="15" t="n">
        <v>45794</v>
      </c>
      <c r="C361" s="11" t="n">
        <v>3</v>
      </c>
      <c r="D361" s="11" t="n">
        <v>6</v>
      </c>
      <c r="E361" s="11" t="n">
        <v>45</v>
      </c>
      <c r="F361" s="11" t="n">
        <v>13</v>
      </c>
      <c r="G361" s="11" t="n">
        <v>1</v>
      </c>
      <c r="H361" s="13" t="n">
        <v>32</v>
      </c>
      <c r="I361" s="16" t="n">
        <v>0</v>
      </c>
      <c r="J361" s="13" t="n">
        <f aca="false">G361*H361</f>
        <v>32</v>
      </c>
      <c r="K361" s="13" t="n">
        <f aca="false">J361*(1-I361)</f>
        <v>32</v>
      </c>
    </row>
    <row r="362" customFormat="false" ht="15" hidden="false" customHeight="false" outlineLevel="0" collapsed="false">
      <c r="A362" s="11" t="n">
        <v>361</v>
      </c>
      <c r="B362" s="15" t="n">
        <v>45794</v>
      </c>
      <c r="C362" s="11" t="n">
        <v>1</v>
      </c>
      <c r="D362" s="11" t="n">
        <v>2</v>
      </c>
      <c r="E362" s="11" t="n">
        <v>20</v>
      </c>
      <c r="F362" s="11" t="n">
        <v>12</v>
      </c>
      <c r="G362" s="11" t="n">
        <v>1</v>
      </c>
      <c r="H362" s="13" t="n">
        <v>45</v>
      </c>
      <c r="I362" s="16" t="n">
        <v>0</v>
      </c>
      <c r="J362" s="13" t="n">
        <f aca="false">G362*H362</f>
        <v>45</v>
      </c>
      <c r="K362" s="13" t="n">
        <f aca="false">J362*(1-I362)</f>
        <v>45</v>
      </c>
    </row>
    <row r="363" customFormat="false" ht="15" hidden="false" customHeight="false" outlineLevel="0" collapsed="false">
      <c r="A363" s="11" t="n">
        <v>362</v>
      </c>
      <c r="B363" s="15" t="n">
        <v>45794</v>
      </c>
      <c r="C363" s="11" t="n">
        <v>2</v>
      </c>
      <c r="D363" s="11" t="n">
        <v>4</v>
      </c>
      <c r="E363" s="11" t="n">
        <v>30</v>
      </c>
      <c r="F363" s="11" t="n">
        <v>17</v>
      </c>
      <c r="G363" s="11" t="n">
        <v>2</v>
      </c>
      <c r="H363" s="13" t="n">
        <v>28</v>
      </c>
      <c r="I363" s="16" t="n">
        <v>0</v>
      </c>
      <c r="J363" s="13" t="n">
        <f aca="false">G363*H363</f>
        <v>56</v>
      </c>
      <c r="K363" s="13" t="n">
        <f aca="false">J363*(1-I363)</f>
        <v>56</v>
      </c>
    </row>
    <row r="364" customFormat="false" ht="15" hidden="false" customHeight="false" outlineLevel="0" collapsed="false">
      <c r="A364" s="11" t="n">
        <v>363</v>
      </c>
      <c r="B364" s="15" t="n">
        <v>45795</v>
      </c>
      <c r="C364" s="11" t="n">
        <v>3</v>
      </c>
      <c r="D364" s="11" t="n">
        <v>6</v>
      </c>
      <c r="E364" s="11" t="n">
        <v>12</v>
      </c>
      <c r="F364" s="11" t="n">
        <v>11</v>
      </c>
      <c r="G364" s="11" t="n">
        <v>1</v>
      </c>
      <c r="H364" s="13" t="n">
        <v>72</v>
      </c>
      <c r="I364" s="16" t="n">
        <v>0</v>
      </c>
      <c r="J364" s="13" t="n">
        <f aca="false">G364*H364</f>
        <v>72</v>
      </c>
      <c r="K364" s="13" t="n">
        <f aca="false">J364*(1-I364)</f>
        <v>72</v>
      </c>
    </row>
    <row r="365" customFormat="false" ht="15" hidden="false" customHeight="false" outlineLevel="0" collapsed="false">
      <c r="A365" s="11" t="n">
        <v>364</v>
      </c>
      <c r="B365" s="15" t="n">
        <v>45795</v>
      </c>
      <c r="C365" s="11" t="n">
        <v>5</v>
      </c>
      <c r="D365" s="11" t="n">
        <v>10</v>
      </c>
      <c r="E365" s="11" t="n">
        <v>21</v>
      </c>
      <c r="F365" s="11" t="n">
        <v>12</v>
      </c>
      <c r="G365" s="11" t="n">
        <v>1</v>
      </c>
      <c r="H365" s="13" t="n">
        <v>45</v>
      </c>
      <c r="I365" s="16" t="n">
        <v>0</v>
      </c>
      <c r="J365" s="13" t="n">
        <f aca="false">G365*H365</f>
        <v>45</v>
      </c>
      <c r="K365" s="13" t="n">
        <f aca="false">J365*(1-I365)</f>
        <v>45</v>
      </c>
    </row>
    <row r="366" customFormat="false" ht="15" hidden="false" customHeight="false" outlineLevel="0" collapsed="false">
      <c r="A366" s="11" t="n">
        <v>365</v>
      </c>
      <c r="B366" s="15" t="n">
        <v>45795</v>
      </c>
      <c r="C366" s="11" t="n">
        <v>4</v>
      </c>
      <c r="D366" s="11" t="n">
        <v>8</v>
      </c>
      <c r="E366" s="11" t="n">
        <v>1</v>
      </c>
      <c r="F366" s="11" t="n">
        <v>7</v>
      </c>
      <c r="G366" s="11" t="n">
        <v>2</v>
      </c>
      <c r="H366" s="13" t="n">
        <v>50</v>
      </c>
      <c r="I366" s="16" t="n">
        <v>0</v>
      </c>
      <c r="J366" s="13" t="n">
        <f aca="false">G366*H366</f>
        <v>100</v>
      </c>
      <c r="K366" s="13" t="n">
        <f aca="false">J366*(1-I366)</f>
        <v>100</v>
      </c>
    </row>
    <row r="367" customFormat="false" ht="15" hidden="false" customHeight="false" outlineLevel="0" collapsed="false">
      <c r="A367" s="11" t="n">
        <v>366</v>
      </c>
      <c r="B367" s="15" t="n">
        <v>45796</v>
      </c>
      <c r="C367" s="11" t="n">
        <v>5</v>
      </c>
      <c r="D367" s="11" t="n">
        <v>10</v>
      </c>
      <c r="E367" s="11" t="n">
        <v>37</v>
      </c>
      <c r="F367" s="11" t="n">
        <v>20</v>
      </c>
      <c r="G367" s="11" t="n">
        <v>1</v>
      </c>
      <c r="H367" s="13" t="n">
        <v>88</v>
      </c>
      <c r="I367" s="16" t="n">
        <v>0.1</v>
      </c>
      <c r="J367" s="13" t="n">
        <f aca="false">G367*H367</f>
        <v>88</v>
      </c>
      <c r="K367" s="13" t="n">
        <f aca="false">J367*(1-I367)</f>
        <v>79.2</v>
      </c>
    </row>
    <row r="368" customFormat="false" ht="15" hidden="false" customHeight="false" outlineLevel="0" collapsed="false">
      <c r="A368" s="11" t="n">
        <v>367</v>
      </c>
      <c r="B368" s="15" t="n">
        <v>45796</v>
      </c>
      <c r="C368" s="11" t="n">
        <v>1</v>
      </c>
      <c r="D368" s="11" t="n">
        <v>3</v>
      </c>
      <c r="E368" s="11" t="n">
        <v>58</v>
      </c>
      <c r="F368" s="11" t="n">
        <v>4</v>
      </c>
      <c r="G368" s="11" t="n">
        <v>1</v>
      </c>
      <c r="H368" s="13" t="n">
        <v>55</v>
      </c>
      <c r="I368" s="16" t="n">
        <v>0</v>
      </c>
      <c r="J368" s="13" t="n">
        <f aca="false">G368*H368</f>
        <v>55</v>
      </c>
      <c r="K368" s="13" t="n">
        <f aca="false">J368*(1-I368)</f>
        <v>55</v>
      </c>
    </row>
    <row r="369" customFormat="false" ht="15" hidden="false" customHeight="false" outlineLevel="0" collapsed="false">
      <c r="A369" s="11" t="n">
        <v>368</v>
      </c>
      <c r="B369" s="15" t="n">
        <v>45796</v>
      </c>
      <c r="C369" s="11" t="n">
        <v>3</v>
      </c>
      <c r="D369" s="11" t="n">
        <v>6</v>
      </c>
      <c r="E369" s="11" t="n">
        <v>20</v>
      </c>
      <c r="F369" s="11" t="n">
        <v>14</v>
      </c>
      <c r="G369" s="11" t="n">
        <v>2</v>
      </c>
      <c r="H369" s="13" t="n">
        <v>38</v>
      </c>
      <c r="I369" s="16" t="n">
        <v>0.05</v>
      </c>
      <c r="J369" s="13" t="n">
        <f aca="false">G369*H369</f>
        <v>76</v>
      </c>
      <c r="K369" s="13" t="n">
        <f aca="false">J369*(1-I369)</f>
        <v>72.2</v>
      </c>
    </row>
    <row r="370" customFormat="false" ht="15" hidden="false" customHeight="false" outlineLevel="0" collapsed="false">
      <c r="A370" s="11" t="n">
        <v>369</v>
      </c>
      <c r="B370" s="15" t="n">
        <v>45796</v>
      </c>
      <c r="C370" s="11" t="n">
        <v>2</v>
      </c>
      <c r="D370" s="11" t="n">
        <v>4</v>
      </c>
      <c r="E370" s="11" t="n">
        <v>40</v>
      </c>
      <c r="F370" s="11" t="n">
        <v>3</v>
      </c>
      <c r="G370" s="11" t="n">
        <v>2</v>
      </c>
      <c r="H370" s="13" t="n">
        <v>38</v>
      </c>
      <c r="I370" s="16" t="n">
        <v>0</v>
      </c>
      <c r="J370" s="13" t="n">
        <f aca="false">G370*H370</f>
        <v>76</v>
      </c>
      <c r="K370" s="13" t="n">
        <f aca="false">J370*(1-I370)</f>
        <v>76</v>
      </c>
    </row>
    <row r="371" customFormat="false" ht="15" hidden="false" customHeight="false" outlineLevel="0" collapsed="false">
      <c r="A371" s="11" t="n">
        <v>370</v>
      </c>
      <c r="B371" s="15" t="n">
        <v>45797</v>
      </c>
      <c r="C371" s="11" t="n">
        <v>4</v>
      </c>
      <c r="D371" s="11" t="n">
        <v>9</v>
      </c>
      <c r="E371" s="11" t="n">
        <v>19</v>
      </c>
      <c r="F371" s="11" t="n">
        <v>18</v>
      </c>
      <c r="G371" s="11" t="n">
        <v>1</v>
      </c>
      <c r="H371" s="13" t="n">
        <v>95</v>
      </c>
      <c r="I371" s="16" t="n">
        <v>0</v>
      </c>
      <c r="J371" s="13" t="n">
        <f aca="false">G371*H371</f>
        <v>95</v>
      </c>
      <c r="K371" s="13" t="n">
        <f aca="false">J371*(1-I371)</f>
        <v>95</v>
      </c>
    </row>
    <row r="372" customFormat="false" ht="15" hidden="false" customHeight="false" outlineLevel="0" collapsed="false">
      <c r="A372" s="11" t="n">
        <v>371</v>
      </c>
      <c r="B372" s="15" t="n">
        <v>45797</v>
      </c>
      <c r="C372" s="11" t="n">
        <v>1</v>
      </c>
      <c r="D372" s="11" t="n">
        <v>2</v>
      </c>
      <c r="E372" s="11" t="n">
        <v>38</v>
      </c>
      <c r="F372" s="11" t="n">
        <v>16</v>
      </c>
      <c r="G372" s="11" t="n">
        <v>5</v>
      </c>
      <c r="H372" s="13" t="n">
        <v>45</v>
      </c>
      <c r="I372" s="16" t="n">
        <v>0</v>
      </c>
      <c r="J372" s="13" t="n">
        <f aca="false">G372*H372</f>
        <v>225</v>
      </c>
      <c r="K372" s="13" t="n">
        <f aca="false">J372*(1-I372)</f>
        <v>225</v>
      </c>
    </row>
    <row r="373" customFormat="false" ht="15" hidden="false" customHeight="false" outlineLevel="0" collapsed="false">
      <c r="A373" s="11" t="n">
        <v>372</v>
      </c>
      <c r="B373" s="15" t="n">
        <v>45797</v>
      </c>
      <c r="C373" s="11" t="n">
        <v>2</v>
      </c>
      <c r="D373" s="11" t="n">
        <v>4</v>
      </c>
      <c r="E373" s="11" t="n">
        <v>14</v>
      </c>
      <c r="F373" s="11" t="n">
        <v>5</v>
      </c>
      <c r="G373" s="11" t="n">
        <v>2</v>
      </c>
      <c r="H373" s="13" t="n">
        <v>58</v>
      </c>
      <c r="I373" s="16" t="n">
        <v>0</v>
      </c>
      <c r="J373" s="13" t="n">
        <f aca="false">G373*H373</f>
        <v>116</v>
      </c>
      <c r="K373" s="13" t="n">
        <f aca="false">J373*(1-I373)</f>
        <v>116</v>
      </c>
    </row>
    <row r="374" customFormat="false" ht="15" hidden="false" customHeight="false" outlineLevel="0" collapsed="false">
      <c r="A374" s="11" t="n">
        <v>373</v>
      </c>
      <c r="B374" s="15" t="n">
        <v>45797</v>
      </c>
      <c r="C374" s="11" t="n">
        <v>3</v>
      </c>
      <c r="D374" s="11" t="n">
        <v>6</v>
      </c>
      <c r="E374" s="11" t="n">
        <v>14</v>
      </c>
      <c r="F374" s="11" t="n">
        <v>11</v>
      </c>
      <c r="G374" s="11" t="n">
        <v>1</v>
      </c>
      <c r="H374" s="13" t="n">
        <v>72</v>
      </c>
      <c r="I374" s="16" t="n">
        <v>0</v>
      </c>
      <c r="J374" s="13" t="n">
        <f aca="false">G374*H374</f>
        <v>72</v>
      </c>
      <c r="K374" s="13" t="n">
        <f aca="false">J374*(1-I374)</f>
        <v>72</v>
      </c>
    </row>
    <row r="375" customFormat="false" ht="15" hidden="false" customHeight="false" outlineLevel="0" collapsed="false">
      <c r="A375" s="11" t="n">
        <v>374</v>
      </c>
      <c r="B375" s="15" t="n">
        <v>45797</v>
      </c>
      <c r="C375" s="11" t="n">
        <v>5</v>
      </c>
      <c r="D375" s="11" t="n">
        <v>10</v>
      </c>
      <c r="E375" s="11" t="n">
        <v>50</v>
      </c>
      <c r="F375" s="11" t="n">
        <v>3</v>
      </c>
      <c r="G375" s="11" t="n">
        <v>2</v>
      </c>
      <c r="H375" s="13" t="n">
        <v>38</v>
      </c>
      <c r="I375" s="16" t="n">
        <v>0.05</v>
      </c>
      <c r="J375" s="13" t="n">
        <f aca="false">G375*H375</f>
        <v>76</v>
      </c>
      <c r="K375" s="13" t="n">
        <f aca="false">J375*(1-I375)</f>
        <v>72.2</v>
      </c>
    </row>
    <row r="376" customFormat="false" ht="15" hidden="false" customHeight="false" outlineLevel="0" collapsed="false">
      <c r="A376" s="11" t="n">
        <v>375</v>
      </c>
      <c r="B376" s="15" t="n">
        <v>45798</v>
      </c>
      <c r="C376" s="11" t="n">
        <v>4</v>
      </c>
      <c r="D376" s="11" t="n">
        <v>9</v>
      </c>
      <c r="E376" s="11" t="n">
        <v>9</v>
      </c>
      <c r="F376" s="11" t="n">
        <v>20</v>
      </c>
      <c r="G376" s="11" t="n">
        <v>2</v>
      </c>
      <c r="H376" s="13" t="n">
        <v>88</v>
      </c>
      <c r="I376" s="16" t="n">
        <v>0</v>
      </c>
      <c r="J376" s="13" t="n">
        <f aca="false">G376*H376</f>
        <v>176</v>
      </c>
      <c r="K376" s="13" t="n">
        <f aca="false">J376*(1-I376)</f>
        <v>176</v>
      </c>
    </row>
    <row r="377" customFormat="false" ht="15" hidden="false" customHeight="false" outlineLevel="0" collapsed="false">
      <c r="A377" s="11" t="n">
        <v>376</v>
      </c>
      <c r="B377" s="15" t="n">
        <v>45798</v>
      </c>
      <c r="C377" s="11" t="n">
        <v>4</v>
      </c>
      <c r="D377" s="11" t="n">
        <v>9</v>
      </c>
      <c r="E377" s="11" t="n">
        <v>45</v>
      </c>
      <c r="F377" s="11" t="n">
        <v>14</v>
      </c>
      <c r="G377" s="11" t="n">
        <v>1</v>
      </c>
      <c r="H377" s="13" t="n">
        <v>38</v>
      </c>
      <c r="I377" s="16" t="n">
        <v>0</v>
      </c>
      <c r="J377" s="13" t="n">
        <f aca="false">G377*H377</f>
        <v>38</v>
      </c>
      <c r="K377" s="13" t="n">
        <f aca="false">J377*(1-I377)</f>
        <v>38</v>
      </c>
    </row>
    <row r="378" customFormat="false" ht="15" hidden="false" customHeight="false" outlineLevel="0" collapsed="false">
      <c r="A378" s="11" t="n">
        <v>377</v>
      </c>
      <c r="B378" s="15" t="n">
        <v>45798</v>
      </c>
      <c r="C378" s="11" t="n">
        <v>1</v>
      </c>
      <c r="D378" s="11" t="n">
        <v>2</v>
      </c>
      <c r="E378" s="11" t="n">
        <v>11</v>
      </c>
      <c r="F378" s="11" t="n">
        <v>12</v>
      </c>
      <c r="G378" s="11" t="n">
        <v>2</v>
      </c>
      <c r="H378" s="13" t="n">
        <v>45</v>
      </c>
      <c r="I378" s="16" t="n">
        <v>0.15</v>
      </c>
      <c r="J378" s="13" t="n">
        <f aca="false">G378*H378</f>
        <v>90</v>
      </c>
      <c r="K378" s="13" t="n">
        <f aca="false">J378*(1-I378)</f>
        <v>76.5</v>
      </c>
    </row>
    <row r="379" customFormat="false" ht="15" hidden="false" customHeight="false" outlineLevel="0" collapsed="false">
      <c r="A379" s="11" t="n">
        <v>378</v>
      </c>
      <c r="B379" s="15" t="n">
        <v>45798</v>
      </c>
      <c r="C379" s="11" t="n">
        <v>1</v>
      </c>
      <c r="D379" s="11" t="n">
        <v>1</v>
      </c>
      <c r="E379" s="11" t="n">
        <v>4</v>
      </c>
      <c r="F379" s="11" t="n">
        <v>6</v>
      </c>
      <c r="G379" s="11" t="n">
        <v>1</v>
      </c>
      <c r="H379" s="13" t="n">
        <v>62</v>
      </c>
      <c r="I379" s="16" t="n">
        <v>0</v>
      </c>
      <c r="J379" s="13" t="n">
        <f aca="false">G379*H379</f>
        <v>62</v>
      </c>
      <c r="K379" s="13" t="n">
        <f aca="false">J379*(1-I379)</f>
        <v>62</v>
      </c>
    </row>
    <row r="380" customFormat="false" ht="15" hidden="false" customHeight="false" outlineLevel="0" collapsed="false">
      <c r="A380" s="11" t="n">
        <v>379</v>
      </c>
      <c r="B380" s="15" t="n">
        <v>45798</v>
      </c>
      <c r="C380" s="11" t="n">
        <v>4</v>
      </c>
      <c r="D380" s="11" t="n">
        <v>9</v>
      </c>
      <c r="E380" s="11" t="n">
        <v>8</v>
      </c>
      <c r="F380" s="11" t="n">
        <v>10</v>
      </c>
      <c r="G380" s="11" t="n">
        <v>1</v>
      </c>
      <c r="H380" s="13" t="n">
        <v>70</v>
      </c>
      <c r="I380" s="16" t="n">
        <v>0</v>
      </c>
      <c r="J380" s="13" t="n">
        <f aca="false">G380*H380</f>
        <v>70</v>
      </c>
      <c r="K380" s="13" t="n">
        <f aca="false">J380*(1-I380)</f>
        <v>70</v>
      </c>
    </row>
    <row r="381" customFormat="false" ht="15" hidden="false" customHeight="false" outlineLevel="0" collapsed="false">
      <c r="A381" s="11" t="n">
        <v>380</v>
      </c>
      <c r="B381" s="15" t="n">
        <v>45798</v>
      </c>
      <c r="C381" s="11" t="n">
        <v>1</v>
      </c>
      <c r="D381" s="11" t="n">
        <v>1</v>
      </c>
      <c r="E381" s="11" t="n">
        <v>57</v>
      </c>
      <c r="F381" s="11" t="n">
        <v>18</v>
      </c>
      <c r="G381" s="11" t="n">
        <v>2</v>
      </c>
      <c r="H381" s="13" t="n">
        <v>95</v>
      </c>
      <c r="I381" s="16" t="n">
        <v>0</v>
      </c>
      <c r="J381" s="13" t="n">
        <f aca="false">G381*H381</f>
        <v>190</v>
      </c>
      <c r="K381" s="13" t="n">
        <f aca="false">J381*(1-I381)</f>
        <v>190</v>
      </c>
    </row>
    <row r="382" customFormat="false" ht="15" hidden="false" customHeight="false" outlineLevel="0" collapsed="false">
      <c r="A382" s="11" t="n">
        <v>381</v>
      </c>
      <c r="B382" s="15" t="n">
        <v>45798</v>
      </c>
      <c r="C382" s="11" t="n">
        <v>1</v>
      </c>
      <c r="D382" s="11" t="n">
        <v>1</v>
      </c>
      <c r="E382" s="11" t="n">
        <v>60</v>
      </c>
      <c r="F382" s="11" t="n">
        <v>18</v>
      </c>
      <c r="G382" s="11" t="n">
        <v>1</v>
      </c>
      <c r="H382" s="13" t="n">
        <v>95</v>
      </c>
      <c r="I382" s="16" t="n">
        <v>0</v>
      </c>
      <c r="J382" s="13" t="n">
        <f aca="false">G382*H382</f>
        <v>95</v>
      </c>
      <c r="K382" s="13" t="n">
        <f aca="false">J382*(1-I382)</f>
        <v>95</v>
      </c>
    </row>
    <row r="383" customFormat="false" ht="15" hidden="false" customHeight="false" outlineLevel="0" collapsed="false">
      <c r="A383" s="11" t="n">
        <v>382</v>
      </c>
      <c r="B383" s="15" t="n">
        <v>45799</v>
      </c>
      <c r="C383" s="11" t="n">
        <v>2</v>
      </c>
      <c r="D383" s="11" t="n">
        <v>4</v>
      </c>
      <c r="E383" s="11" t="n">
        <v>27</v>
      </c>
      <c r="F383" s="11" t="n">
        <v>18</v>
      </c>
      <c r="G383" s="11" t="n">
        <v>2</v>
      </c>
      <c r="H383" s="13" t="n">
        <v>95</v>
      </c>
      <c r="I383" s="16" t="n">
        <v>0</v>
      </c>
      <c r="J383" s="13" t="n">
        <f aca="false">G383*H383</f>
        <v>190</v>
      </c>
      <c r="K383" s="13" t="n">
        <f aca="false">J383*(1-I383)</f>
        <v>190</v>
      </c>
    </row>
    <row r="384" customFormat="false" ht="15" hidden="false" customHeight="false" outlineLevel="0" collapsed="false">
      <c r="A384" s="11" t="n">
        <v>383</v>
      </c>
      <c r="B384" s="15" t="n">
        <v>45800</v>
      </c>
      <c r="C384" s="11" t="n">
        <v>2</v>
      </c>
      <c r="D384" s="11" t="n">
        <v>4</v>
      </c>
      <c r="E384" s="11" t="n">
        <v>13</v>
      </c>
      <c r="F384" s="11" t="n">
        <v>14</v>
      </c>
      <c r="G384" s="11" t="n">
        <v>2</v>
      </c>
      <c r="H384" s="13" t="n">
        <v>38</v>
      </c>
      <c r="I384" s="16" t="n">
        <v>0</v>
      </c>
      <c r="J384" s="13" t="n">
        <f aca="false">G384*H384</f>
        <v>76</v>
      </c>
      <c r="K384" s="13" t="n">
        <f aca="false">J384*(1-I384)</f>
        <v>76</v>
      </c>
    </row>
    <row r="385" customFormat="false" ht="15" hidden="false" customHeight="false" outlineLevel="0" collapsed="false">
      <c r="A385" s="11" t="n">
        <v>384</v>
      </c>
      <c r="B385" s="15" t="n">
        <v>45800</v>
      </c>
      <c r="C385" s="11" t="n">
        <v>3</v>
      </c>
      <c r="D385" s="11" t="n">
        <v>7</v>
      </c>
      <c r="E385" s="11" t="n">
        <v>28</v>
      </c>
      <c r="F385" s="11" t="n">
        <v>13</v>
      </c>
      <c r="G385" s="11" t="n">
        <v>1</v>
      </c>
      <c r="H385" s="13" t="n">
        <v>32</v>
      </c>
      <c r="I385" s="16" t="n">
        <v>0</v>
      </c>
      <c r="J385" s="13" t="n">
        <f aca="false">G385*H385</f>
        <v>32</v>
      </c>
      <c r="K385" s="13" t="n">
        <f aca="false">J385*(1-I385)</f>
        <v>32</v>
      </c>
    </row>
    <row r="386" customFormat="false" ht="15" hidden="false" customHeight="false" outlineLevel="0" collapsed="false">
      <c r="A386" s="11" t="n">
        <v>385</v>
      </c>
      <c r="B386" s="15" t="n">
        <v>45800</v>
      </c>
      <c r="C386" s="11" t="n">
        <v>2</v>
      </c>
      <c r="D386" s="11" t="n">
        <v>5</v>
      </c>
      <c r="E386" s="11" t="n">
        <v>37</v>
      </c>
      <c r="F386" s="11" t="n">
        <v>1</v>
      </c>
      <c r="G386" s="11" t="n">
        <v>1</v>
      </c>
      <c r="H386" s="13" t="n">
        <v>35</v>
      </c>
      <c r="I386" s="16" t="n">
        <v>0.1</v>
      </c>
      <c r="J386" s="13" t="n">
        <f aca="false">G386*H386</f>
        <v>35</v>
      </c>
      <c r="K386" s="13" t="n">
        <f aca="false">J386*(1-I386)</f>
        <v>31.5</v>
      </c>
    </row>
    <row r="387" customFormat="false" ht="15" hidden="false" customHeight="false" outlineLevel="0" collapsed="false">
      <c r="A387" s="11" t="n">
        <v>386</v>
      </c>
      <c r="B387" s="15" t="n">
        <v>45801</v>
      </c>
      <c r="C387" s="11" t="n">
        <v>2</v>
      </c>
      <c r="D387" s="11" t="n">
        <v>4</v>
      </c>
      <c r="E387" s="11" t="n">
        <v>9</v>
      </c>
      <c r="F387" s="11" t="n">
        <v>18</v>
      </c>
      <c r="G387" s="11" t="n">
        <v>3</v>
      </c>
      <c r="H387" s="13" t="n">
        <v>95</v>
      </c>
      <c r="I387" s="16" t="n">
        <v>0</v>
      </c>
      <c r="J387" s="13" t="n">
        <f aca="false">G387*H387</f>
        <v>285</v>
      </c>
      <c r="K387" s="13" t="n">
        <f aca="false">J387*(1-I387)</f>
        <v>285</v>
      </c>
    </row>
    <row r="388" customFormat="false" ht="15" hidden="false" customHeight="false" outlineLevel="0" collapsed="false">
      <c r="A388" s="11" t="n">
        <v>387</v>
      </c>
      <c r="B388" s="15" t="n">
        <v>45801</v>
      </c>
      <c r="C388" s="11" t="n">
        <v>3</v>
      </c>
      <c r="D388" s="11" t="n">
        <v>7</v>
      </c>
      <c r="E388" s="11" t="n">
        <v>42</v>
      </c>
      <c r="F388" s="11" t="n">
        <v>12</v>
      </c>
      <c r="G388" s="11" t="n">
        <v>2</v>
      </c>
      <c r="H388" s="13" t="n">
        <v>45</v>
      </c>
      <c r="I388" s="16" t="n">
        <v>0</v>
      </c>
      <c r="J388" s="13" t="n">
        <f aca="false">G388*H388</f>
        <v>90</v>
      </c>
      <c r="K388" s="13" t="n">
        <f aca="false">J388*(1-I388)</f>
        <v>90</v>
      </c>
    </row>
    <row r="389" customFormat="false" ht="15" hidden="false" customHeight="false" outlineLevel="0" collapsed="false">
      <c r="A389" s="11" t="n">
        <v>388</v>
      </c>
      <c r="B389" s="15" t="n">
        <v>45801</v>
      </c>
      <c r="C389" s="11" t="n">
        <v>1</v>
      </c>
      <c r="D389" s="11" t="n">
        <v>2</v>
      </c>
      <c r="E389" s="11" t="n">
        <v>32</v>
      </c>
      <c r="F389" s="11" t="n">
        <v>4</v>
      </c>
      <c r="G389" s="11" t="n">
        <v>1</v>
      </c>
      <c r="H389" s="13" t="n">
        <v>55</v>
      </c>
      <c r="I389" s="16" t="n">
        <v>0</v>
      </c>
      <c r="J389" s="13" t="n">
        <f aca="false">G389*H389</f>
        <v>55</v>
      </c>
      <c r="K389" s="13" t="n">
        <f aca="false">J389*(1-I389)</f>
        <v>55</v>
      </c>
    </row>
    <row r="390" customFormat="false" ht="15" hidden="false" customHeight="false" outlineLevel="0" collapsed="false">
      <c r="A390" s="11" t="n">
        <v>389</v>
      </c>
      <c r="B390" s="15" t="n">
        <v>45801</v>
      </c>
      <c r="C390" s="11" t="n">
        <v>1</v>
      </c>
      <c r="D390" s="11" t="n">
        <v>3</v>
      </c>
      <c r="E390" s="11" t="n">
        <v>12</v>
      </c>
      <c r="F390" s="11" t="n">
        <v>13</v>
      </c>
      <c r="G390" s="11" t="n">
        <v>1</v>
      </c>
      <c r="H390" s="13" t="n">
        <v>32</v>
      </c>
      <c r="I390" s="16" t="n">
        <v>0</v>
      </c>
      <c r="J390" s="13" t="n">
        <f aca="false">G390*H390</f>
        <v>32</v>
      </c>
      <c r="K390" s="13" t="n">
        <f aca="false">J390*(1-I390)</f>
        <v>32</v>
      </c>
    </row>
    <row r="391" customFormat="false" ht="15" hidden="false" customHeight="false" outlineLevel="0" collapsed="false">
      <c r="A391" s="11" t="n">
        <v>390</v>
      </c>
      <c r="B391" s="15" t="n">
        <v>45802</v>
      </c>
      <c r="C391" s="11" t="n">
        <v>3</v>
      </c>
      <c r="D391" s="11" t="n">
        <v>6</v>
      </c>
      <c r="E391" s="11" t="n">
        <v>23</v>
      </c>
      <c r="F391" s="11" t="n">
        <v>5</v>
      </c>
      <c r="G391" s="11" t="n">
        <v>2</v>
      </c>
      <c r="H391" s="13" t="n">
        <v>58</v>
      </c>
      <c r="I391" s="16" t="n">
        <v>0</v>
      </c>
      <c r="J391" s="13" t="n">
        <f aca="false">G391*H391</f>
        <v>116</v>
      </c>
      <c r="K391" s="13" t="n">
        <f aca="false">J391*(1-I391)</f>
        <v>116</v>
      </c>
    </row>
    <row r="392" customFormat="false" ht="15" hidden="false" customHeight="false" outlineLevel="0" collapsed="false">
      <c r="A392" s="11" t="n">
        <v>391</v>
      </c>
      <c r="B392" s="15" t="n">
        <v>45802</v>
      </c>
      <c r="C392" s="11" t="n">
        <v>4</v>
      </c>
      <c r="D392" s="11" t="n">
        <v>9</v>
      </c>
      <c r="E392" s="11" t="n">
        <v>59</v>
      </c>
      <c r="F392" s="11" t="n">
        <v>18</v>
      </c>
      <c r="G392" s="11" t="n">
        <v>1</v>
      </c>
      <c r="H392" s="13" t="n">
        <v>95</v>
      </c>
      <c r="I392" s="16" t="n">
        <v>0</v>
      </c>
      <c r="J392" s="13" t="n">
        <f aca="false">G392*H392</f>
        <v>95</v>
      </c>
      <c r="K392" s="13" t="n">
        <f aca="false">J392*(1-I392)</f>
        <v>95</v>
      </c>
    </row>
    <row r="393" customFormat="false" ht="15" hidden="false" customHeight="false" outlineLevel="0" collapsed="false">
      <c r="A393" s="11" t="n">
        <v>392</v>
      </c>
      <c r="B393" s="15" t="n">
        <v>45802</v>
      </c>
      <c r="C393" s="11" t="n">
        <v>5</v>
      </c>
      <c r="D393" s="11" t="n">
        <v>10</v>
      </c>
      <c r="E393" s="11" t="n">
        <v>8</v>
      </c>
      <c r="F393" s="11" t="n">
        <v>10</v>
      </c>
      <c r="G393" s="11" t="n">
        <v>1</v>
      </c>
      <c r="H393" s="13" t="n">
        <v>70</v>
      </c>
      <c r="I393" s="16" t="n">
        <v>0</v>
      </c>
      <c r="J393" s="13" t="n">
        <f aca="false">G393*H393</f>
        <v>70</v>
      </c>
      <c r="K393" s="13" t="n">
        <f aca="false">J393*(1-I393)</f>
        <v>70</v>
      </c>
    </row>
    <row r="394" customFormat="false" ht="15" hidden="false" customHeight="false" outlineLevel="0" collapsed="false">
      <c r="A394" s="11" t="n">
        <v>393</v>
      </c>
      <c r="B394" s="15" t="n">
        <v>45803</v>
      </c>
      <c r="C394" s="11" t="n">
        <v>2</v>
      </c>
      <c r="D394" s="11" t="n">
        <v>5</v>
      </c>
      <c r="E394" s="11" t="n">
        <v>21</v>
      </c>
      <c r="F394" s="11" t="n">
        <v>15</v>
      </c>
      <c r="G394" s="11" t="n">
        <v>1</v>
      </c>
      <c r="H394" s="13" t="n">
        <v>65</v>
      </c>
      <c r="I394" s="16" t="n">
        <v>0</v>
      </c>
      <c r="J394" s="13" t="n">
        <f aca="false">G394*H394</f>
        <v>65</v>
      </c>
      <c r="K394" s="13" t="n">
        <f aca="false">J394*(1-I394)</f>
        <v>65</v>
      </c>
    </row>
    <row r="395" customFormat="false" ht="15" hidden="false" customHeight="false" outlineLevel="0" collapsed="false">
      <c r="A395" s="11" t="n">
        <v>394</v>
      </c>
      <c r="B395" s="15" t="n">
        <v>45803</v>
      </c>
      <c r="C395" s="11" t="n">
        <v>1</v>
      </c>
      <c r="D395" s="11" t="n">
        <v>1</v>
      </c>
      <c r="E395" s="11" t="n">
        <v>39</v>
      </c>
      <c r="F395" s="11" t="n">
        <v>7</v>
      </c>
      <c r="G395" s="11" t="n">
        <v>2</v>
      </c>
      <c r="H395" s="13" t="n">
        <v>50</v>
      </c>
      <c r="I395" s="16" t="n">
        <v>0.05</v>
      </c>
      <c r="J395" s="13" t="n">
        <f aca="false">G395*H395</f>
        <v>100</v>
      </c>
      <c r="K395" s="13" t="n">
        <f aca="false">J395*(1-I395)</f>
        <v>95</v>
      </c>
    </row>
    <row r="396" customFormat="false" ht="15" hidden="false" customHeight="false" outlineLevel="0" collapsed="false">
      <c r="A396" s="11" t="n">
        <v>395</v>
      </c>
      <c r="B396" s="15" t="n">
        <v>45803</v>
      </c>
      <c r="C396" s="11" t="n">
        <v>4</v>
      </c>
      <c r="D396" s="11" t="n">
        <v>9</v>
      </c>
      <c r="E396" s="11" t="n">
        <v>4</v>
      </c>
      <c r="F396" s="11" t="n">
        <v>15</v>
      </c>
      <c r="G396" s="11" t="n">
        <v>2</v>
      </c>
      <c r="H396" s="13" t="n">
        <v>65</v>
      </c>
      <c r="I396" s="16" t="n">
        <v>0</v>
      </c>
      <c r="J396" s="13" t="n">
        <f aca="false">G396*H396</f>
        <v>130</v>
      </c>
      <c r="K396" s="13" t="n">
        <f aca="false">J396*(1-I396)</f>
        <v>130</v>
      </c>
    </row>
    <row r="397" customFormat="false" ht="15" hidden="false" customHeight="false" outlineLevel="0" collapsed="false">
      <c r="A397" s="11" t="n">
        <v>396</v>
      </c>
      <c r="B397" s="15" t="n">
        <v>45803</v>
      </c>
      <c r="C397" s="11" t="n">
        <v>4</v>
      </c>
      <c r="D397" s="11" t="n">
        <v>9</v>
      </c>
      <c r="E397" s="11" t="n">
        <v>3</v>
      </c>
      <c r="F397" s="11" t="n">
        <v>4</v>
      </c>
      <c r="G397" s="11" t="n">
        <v>2</v>
      </c>
      <c r="H397" s="13" t="n">
        <v>55</v>
      </c>
      <c r="I397" s="16" t="n">
        <v>0.1</v>
      </c>
      <c r="J397" s="13" t="n">
        <f aca="false">G397*H397</f>
        <v>110</v>
      </c>
      <c r="K397" s="13" t="n">
        <f aca="false">J397*(1-I397)</f>
        <v>99</v>
      </c>
    </row>
    <row r="398" customFormat="false" ht="15" hidden="false" customHeight="false" outlineLevel="0" collapsed="false">
      <c r="A398" s="11" t="n">
        <v>397</v>
      </c>
      <c r="B398" s="15" t="n">
        <v>45803</v>
      </c>
      <c r="C398" s="11" t="n">
        <v>1</v>
      </c>
      <c r="D398" s="11" t="n">
        <v>2</v>
      </c>
      <c r="E398" s="11" t="n">
        <v>24</v>
      </c>
      <c r="F398" s="11" t="n">
        <v>10</v>
      </c>
      <c r="G398" s="11" t="n">
        <v>2</v>
      </c>
      <c r="H398" s="13" t="n">
        <v>70</v>
      </c>
      <c r="I398" s="16" t="n">
        <v>0</v>
      </c>
      <c r="J398" s="13" t="n">
        <f aca="false">G398*H398</f>
        <v>140</v>
      </c>
      <c r="K398" s="13" t="n">
        <f aca="false">J398*(1-I398)</f>
        <v>140</v>
      </c>
    </row>
    <row r="399" customFormat="false" ht="15" hidden="false" customHeight="false" outlineLevel="0" collapsed="false">
      <c r="A399" s="11" t="n">
        <v>398</v>
      </c>
      <c r="B399" s="15" t="n">
        <v>45803</v>
      </c>
      <c r="C399" s="11" t="n">
        <v>5</v>
      </c>
      <c r="D399" s="11" t="n">
        <v>10</v>
      </c>
      <c r="E399" s="11" t="n">
        <v>31</v>
      </c>
      <c r="F399" s="11" t="n">
        <v>12</v>
      </c>
      <c r="G399" s="11" t="n">
        <v>3</v>
      </c>
      <c r="H399" s="13" t="n">
        <v>45</v>
      </c>
      <c r="I399" s="16" t="n">
        <v>0</v>
      </c>
      <c r="J399" s="13" t="n">
        <f aca="false">G399*H399</f>
        <v>135</v>
      </c>
      <c r="K399" s="13" t="n">
        <f aca="false">J399*(1-I399)</f>
        <v>135</v>
      </c>
    </row>
    <row r="400" customFormat="false" ht="15" hidden="false" customHeight="false" outlineLevel="0" collapsed="false">
      <c r="A400" s="11" t="n">
        <v>399</v>
      </c>
      <c r="B400" s="15" t="n">
        <v>45804</v>
      </c>
      <c r="C400" s="11" t="n">
        <v>3</v>
      </c>
      <c r="D400" s="11" t="n">
        <v>7</v>
      </c>
      <c r="E400" s="11" t="n">
        <v>46</v>
      </c>
      <c r="F400" s="11" t="n">
        <v>19</v>
      </c>
      <c r="G400" s="11" t="n">
        <v>1</v>
      </c>
      <c r="H400" s="13" t="n">
        <v>125</v>
      </c>
      <c r="I400" s="16" t="n">
        <v>0.05</v>
      </c>
      <c r="J400" s="13" t="n">
        <f aca="false">G400*H400</f>
        <v>125</v>
      </c>
      <c r="K400" s="13" t="n">
        <f aca="false">J400*(1-I400)</f>
        <v>118.75</v>
      </c>
    </row>
    <row r="401" customFormat="false" ht="15" hidden="false" customHeight="false" outlineLevel="0" collapsed="false">
      <c r="A401" s="11" t="n">
        <v>400</v>
      </c>
      <c r="B401" s="15" t="n">
        <v>45806</v>
      </c>
      <c r="C401" s="11" t="n">
        <v>2</v>
      </c>
      <c r="D401" s="11" t="n">
        <v>5</v>
      </c>
      <c r="E401" s="11" t="n">
        <v>17</v>
      </c>
      <c r="F401" s="11" t="n">
        <v>3</v>
      </c>
      <c r="G401" s="11" t="n">
        <v>1</v>
      </c>
      <c r="H401" s="13" t="n">
        <v>38</v>
      </c>
      <c r="I401" s="16" t="n">
        <v>0</v>
      </c>
      <c r="J401" s="13" t="n">
        <f aca="false">G401*H401</f>
        <v>38</v>
      </c>
      <c r="K401" s="13" t="n">
        <f aca="false">J401*(1-I401)</f>
        <v>38</v>
      </c>
    </row>
    <row r="402" customFormat="false" ht="15" hidden="false" customHeight="false" outlineLevel="0" collapsed="false">
      <c r="A402" s="11" t="n">
        <v>401</v>
      </c>
      <c r="B402" s="15" t="n">
        <v>45806</v>
      </c>
      <c r="C402" s="11" t="n">
        <v>1</v>
      </c>
      <c r="D402" s="11" t="n">
        <v>1</v>
      </c>
      <c r="E402" s="11" t="n">
        <v>22</v>
      </c>
      <c r="F402" s="11" t="n">
        <v>14</v>
      </c>
      <c r="G402" s="11" t="n">
        <v>1</v>
      </c>
      <c r="H402" s="13" t="n">
        <v>38</v>
      </c>
      <c r="I402" s="16" t="n">
        <v>0</v>
      </c>
      <c r="J402" s="13" t="n">
        <f aca="false">G402*H402</f>
        <v>38</v>
      </c>
      <c r="K402" s="13" t="n">
        <f aca="false">J402*(1-I402)</f>
        <v>38</v>
      </c>
    </row>
    <row r="403" customFormat="false" ht="15" hidden="false" customHeight="false" outlineLevel="0" collapsed="false">
      <c r="A403" s="11" t="n">
        <v>402</v>
      </c>
      <c r="B403" s="15" t="n">
        <v>45806</v>
      </c>
      <c r="C403" s="11" t="n">
        <v>2</v>
      </c>
      <c r="D403" s="11" t="n">
        <v>5</v>
      </c>
      <c r="E403" s="11" t="n">
        <v>4</v>
      </c>
      <c r="F403" s="11" t="n">
        <v>5</v>
      </c>
      <c r="G403" s="11" t="n">
        <v>1</v>
      </c>
      <c r="H403" s="13" t="n">
        <v>58</v>
      </c>
      <c r="I403" s="16" t="n">
        <v>0.1</v>
      </c>
      <c r="J403" s="13" t="n">
        <f aca="false">G403*H403</f>
        <v>58</v>
      </c>
      <c r="K403" s="13" t="n">
        <f aca="false">J403*(1-I403)</f>
        <v>52.2</v>
      </c>
    </row>
    <row r="404" customFormat="false" ht="15" hidden="false" customHeight="false" outlineLevel="0" collapsed="false">
      <c r="A404" s="11" t="n">
        <v>403</v>
      </c>
      <c r="B404" s="15" t="n">
        <v>45807</v>
      </c>
      <c r="C404" s="11" t="n">
        <v>4</v>
      </c>
      <c r="D404" s="11" t="n">
        <v>9</v>
      </c>
      <c r="E404" s="11" t="n">
        <v>5</v>
      </c>
      <c r="F404" s="11" t="n">
        <v>5</v>
      </c>
      <c r="G404" s="11" t="n">
        <v>1</v>
      </c>
      <c r="H404" s="13" t="n">
        <v>58</v>
      </c>
      <c r="I404" s="16" t="n">
        <v>0</v>
      </c>
      <c r="J404" s="13" t="n">
        <f aca="false">G404*H404</f>
        <v>58</v>
      </c>
      <c r="K404" s="13" t="n">
        <f aca="false">J404*(1-I404)</f>
        <v>58</v>
      </c>
    </row>
    <row r="405" customFormat="false" ht="15" hidden="false" customHeight="false" outlineLevel="0" collapsed="false">
      <c r="A405" s="11" t="n">
        <v>404</v>
      </c>
      <c r="B405" s="15" t="n">
        <v>45807</v>
      </c>
      <c r="C405" s="11" t="n">
        <v>2</v>
      </c>
      <c r="D405" s="11" t="n">
        <v>4</v>
      </c>
      <c r="E405" s="11" t="n">
        <v>8</v>
      </c>
      <c r="F405" s="11" t="n">
        <v>5</v>
      </c>
      <c r="G405" s="11" t="n">
        <v>1</v>
      </c>
      <c r="H405" s="13" t="n">
        <v>58</v>
      </c>
      <c r="I405" s="16" t="n">
        <v>0</v>
      </c>
      <c r="J405" s="13" t="n">
        <f aca="false">G405*H405</f>
        <v>58</v>
      </c>
      <c r="K405" s="13" t="n">
        <f aca="false">J405*(1-I405)</f>
        <v>58</v>
      </c>
    </row>
    <row r="406" customFormat="false" ht="15" hidden="false" customHeight="false" outlineLevel="0" collapsed="false">
      <c r="A406" s="11" t="n">
        <v>405</v>
      </c>
      <c r="B406" s="15" t="n">
        <v>45808</v>
      </c>
      <c r="C406" s="11" t="n">
        <v>2</v>
      </c>
      <c r="D406" s="11" t="n">
        <v>5</v>
      </c>
      <c r="E406" s="11" t="n">
        <v>52</v>
      </c>
      <c r="F406" s="11" t="n">
        <v>11</v>
      </c>
      <c r="G406" s="11" t="n">
        <v>1</v>
      </c>
      <c r="H406" s="13" t="n">
        <v>72</v>
      </c>
      <c r="I406" s="16" t="n">
        <v>0</v>
      </c>
      <c r="J406" s="13" t="n">
        <f aca="false">G406*H406</f>
        <v>72</v>
      </c>
      <c r="K406" s="13" t="n">
        <f aca="false">J406*(1-I406)</f>
        <v>72</v>
      </c>
    </row>
    <row r="407" customFormat="false" ht="15" hidden="false" customHeight="false" outlineLevel="0" collapsed="false">
      <c r="A407" s="11" t="n">
        <v>406</v>
      </c>
      <c r="B407" s="15" t="n">
        <v>45808</v>
      </c>
      <c r="C407" s="11" t="n">
        <v>4</v>
      </c>
      <c r="D407" s="11" t="n">
        <v>9</v>
      </c>
      <c r="E407" s="11" t="n">
        <v>14</v>
      </c>
      <c r="F407" s="11" t="n">
        <v>17</v>
      </c>
      <c r="G407" s="11" t="n">
        <v>2</v>
      </c>
      <c r="H407" s="13" t="n">
        <v>28</v>
      </c>
      <c r="I407" s="16" t="n">
        <v>0</v>
      </c>
      <c r="J407" s="13" t="n">
        <f aca="false">G407*H407</f>
        <v>56</v>
      </c>
      <c r="K407" s="13" t="n">
        <f aca="false">J407*(1-I407)</f>
        <v>56</v>
      </c>
    </row>
    <row r="408" customFormat="false" ht="15" hidden="false" customHeight="false" outlineLevel="0" collapsed="false">
      <c r="A408" s="11" t="n">
        <v>407</v>
      </c>
      <c r="B408" s="15" t="n">
        <v>45808</v>
      </c>
      <c r="C408" s="11" t="n">
        <v>2</v>
      </c>
      <c r="D408" s="11" t="n">
        <v>5</v>
      </c>
      <c r="E408" s="11" t="n">
        <v>29</v>
      </c>
      <c r="F408" s="11" t="n">
        <v>5</v>
      </c>
      <c r="G408" s="11" t="n">
        <v>1</v>
      </c>
      <c r="H408" s="13" t="n">
        <v>58</v>
      </c>
      <c r="I408" s="16" t="n">
        <v>0</v>
      </c>
      <c r="J408" s="13" t="n">
        <f aca="false">G408*H408</f>
        <v>58</v>
      </c>
      <c r="K408" s="13" t="n">
        <f aca="false">J408*(1-I408)</f>
        <v>58</v>
      </c>
    </row>
    <row r="409" customFormat="false" ht="15" hidden="false" customHeight="false" outlineLevel="0" collapsed="false">
      <c r="A409" s="11" t="n">
        <v>408</v>
      </c>
      <c r="B409" s="15" t="n">
        <v>45808</v>
      </c>
      <c r="C409" s="11" t="n">
        <v>4</v>
      </c>
      <c r="D409" s="11" t="n">
        <v>9</v>
      </c>
      <c r="E409" s="11" t="n">
        <v>36</v>
      </c>
      <c r="F409" s="11" t="n">
        <v>1</v>
      </c>
      <c r="G409" s="11" t="n">
        <v>1</v>
      </c>
      <c r="H409" s="13" t="n">
        <v>35</v>
      </c>
      <c r="I409" s="16" t="n">
        <v>0</v>
      </c>
      <c r="J409" s="13" t="n">
        <f aca="false">G409*H409</f>
        <v>35</v>
      </c>
      <c r="K409" s="13" t="n">
        <f aca="false">J409*(1-I409)</f>
        <v>35</v>
      </c>
    </row>
    <row r="410" customFormat="false" ht="15" hidden="false" customHeight="false" outlineLevel="0" collapsed="false">
      <c r="A410" s="11" t="n">
        <v>409</v>
      </c>
      <c r="B410" s="15" t="n">
        <v>45808</v>
      </c>
      <c r="C410" s="11" t="n">
        <v>2</v>
      </c>
      <c r="D410" s="11" t="n">
        <v>5</v>
      </c>
      <c r="E410" s="11" t="n">
        <v>6</v>
      </c>
      <c r="F410" s="11" t="n">
        <v>6</v>
      </c>
      <c r="G410" s="11" t="n">
        <v>1</v>
      </c>
      <c r="H410" s="13" t="n">
        <v>62</v>
      </c>
      <c r="I410" s="16" t="n">
        <v>0</v>
      </c>
      <c r="J410" s="13" t="n">
        <f aca="false">G410*H410</f>
        <v>62</v>
      </c>
      <c r="K410" s="13" t="n">
        <f aca="false">J410*(1-I410)</f>
        <v>62</v>
      </c>
    </row>
    <row r="411" customFormat="false" ht="15" hidden="false" customHeight="false" outlineLevel="0" collapsed="false">
      <c r="A411" s="11" t="n">
        <v>410</v>
      </c>
      <c r="B411" s="15" t="n">
        <v>45808</v>
      </c>
      <c r="C411" s="11" t="n">
        <v>2</v>
      </c>
      <c r="D411" s="11" t="n">
        <v>5</v>
      </c>
      <c r="E411" s="11" t="n">
        <v>10</v>
      </c>
      <c r="F411" s="11" t="n">
        <v>7</v>
      </c>
      <c r="G411" s="11" t="n">
        <v>3</v>
      </c>
      <c r="H411" s="13" t="n">
        <v>50</v>
      </c>
      <c r="I411" s="16" t="n">
        <v>0.1</v>
      </c>
      <c r="J411" s="13" t="n">
        <f aca="false">G411*H411</f>
        <v>150</v>
      </c>
      <c r="K411" s="13" t="n">
        <f aca="false">J411*(1-I411)</f>
        <v>135</v>
      </c>
    </row>
    <row r="412" customFormat="false" ht="15" hidden="false" customHeight="false" outlineLevel="0" collapsed="false">
      <c r="A412" s="11" t="n">
        <v>411</v>
      </c>
      <c r="B412" s="15" t="n">
        <v>45809</v>
      </c>
      <c r="C412" s="11" t="n">
        <v>3</v>
      </c>
      <c r="D412" s="11" t="n">
        <v>7</v>
      </c>
      <c r="E412" s="11" t="n">
        <v>35</v>
      </c>
      <c r="F412" s="11" t="n">
        <v>10</v>
      </c>
      <c r="G412" s="11" t="n">
        <v>1</v>
      </c>
      <c r="H412" s="13" t="n">
        <v>70</v>
      </c>
      <c r="I412" s="16" t="n">
        <v>0.05</v>
      </c>
      <c r="J412" s="13" t="n">
        <f aca="false">G412*H412</f>
        <v>70</v>
      </c>
      <c r="K412" s="13" t="n">
        <f aca="false">J412*(1-I412)</f>
        <v>66.5</v>
      </c>
    </row>
    <row r="413" customFormat="false" ht="15" hidden="false" customHeight="false" outlineLevel="0" collapsed="false">
      <c r="A413" s="11" t="n">
        <v>412</v>
      </c>
      <c r="B413" s="15" t="n">
        <v>45809</v>
      </c>
      <c r="C413" s="11" t="n">
        <v>2</v>
      </c>
      <c r="D413" s="11" t="n">
        <v>4</v>
      </c>
      <c r="E413" s="11" t="n">
        <v>46</v>
      </c>
      <c r="F413" s="11" t="n">
        <v>14</v>
      </c>
      <c r="G413" s="11" t="n">
        <v>1</v>
      </c>
      <c r="H413" s="13" t="n">
        <v>38</v>
      </c>
      <c r="I413" s="16" t="n">
        <v>0</v>
      </c>
      <c r="J413" s="13" t="n">
        <f aca="false">G413*H413</f>
        <v>38</v>
      </c>
      <c r="K413" s="13" t="n">
        <f aca="false">J413*(1-I413)</f>
        <v>38</v>
      </c>
    </row>
    <row r="414" customFormat="false" ht="15" hidden="false" customHeight="false" outlineLevel="0" collapsed="false">
      <c r="A414" s="11" t="n">
        <v>413</v>
      </c>
      <c r="B414" s="15" t="n">
        <v>45809</v>
      </c>
      <c r="C414" s="11" t="n">
        <v>4</v>
      </c>
      <c r="D414" s="11" t="n">
        <v>9</v>
      </c>
      <c r="E414" s="11" t="n">
        <v>47</v>
      </c>
      <c r="F414" s="11" t="n">
        <v>6</v>
      </c>
      <c r="G414" s="11" t="n">
        <v>3</v>
      </c>
      <c r="H414" s="13" t="n">
        <v>62</v>
      </c>
      <c r="I414" s="16" t="n">
        <v>0</v>
      </c>
      <c r="J414" s="13" t="n">
        <f aca="false">G414*H414</f>
        <v>186</v>
      </c>
      <c r="K414" s="13" t="n">
        <f aca="false">J414*(1-I414)</f>
        <v>186</v>
      </c>
    </row>
    <row r="415" customFormat="false" ht="15" hidden="false" customHeight="false" outlineLevel="0" collapsed="false">
      <c r="A415" s="11" t="n">
        <v>414</v>
      </c>
      <c r="B415" s="15" t="n">
        <v>45809</v>
      </c>
      <c r="C415" s="11" t="n">
        <v>3</v>
      </c>
      <c r="D415" s="11" t="n">
        <v>6</v>
      </c>
      <c r="E415" s="11" t="n">
        <v>4</v>
      </c>
      <c r="F415" s="11" t="n">
        <v>8</v>
      </c>
      <c r="G415" s="11" t="n">
        <v>1</v>
      </c>
      <c r="H415" s="13" t="n">
        <v>52</v>
      </c>
      <c r="I415" s="16" t="n">
        <v>0.05</v>
      </c>
      <c r="J415" s="13" t="n">
        <f aca="false">G415*H415</f>
        <v>52</v>
      </c>
      <c r="K415" s="13" t="n">
        <f aca="false">J415*(1-I415)</f>
        <v>49.4</v>
      </c>
    </row>
    <row r="416" customFormat="false" ht="15" hidden="false" customHeight="false" outlineLevel="0" collapsed="false">
      <c r="A416" s="11" t="n">
        <v>415</v>
      </c>
      <c r="B416" s="15" t="n">
        <v>45810</v>
      </c>
      <c r="C416" s="11" t="n">
        <v>5</v>
      </c>
      <c r="D416" s="11" t="n">
        <v>10</v>
      </c>
      <c r="E416" s="11" t="n">
        <v>45</v>
      </c>
      <c r="F416" s="11" t="n">
        <v>5</v>
      </c>
      <c r="G416" s="11" t="n">
        <v>1</v>
      </c>
      <c r="H416" s="13" t="n">
        <v>58</v>
      </c>
      <c r="I416" s="16" t="n">
        <v>0</v>
      </c>
      <c r="J416" s="13" t="n">
        <f aca="false">G416*H416</f>
        <v>58</v>
      </c>
      <c r="K416" s="13" t="n">
        <f aca="false">J416*(1-I416)</f>
        <v>58</v>
      </c>
    </row>
    <row r="417" customFormat="false" ht="15" hidden="false" customHeight="false" outlineLevel="0" collapsed="false">
      <c r="A417" s="11" t="n">
        <v>416</v>
      </c>
      <c r="B417" s="15" t="n">
        <v>45810</v>
      </c>
      <c r="C417" s="11" t="n">
        <v>1</v>
      </c>
      <c r="D417" s="11" t="n">
        <v>2</v>
      </c>
      <c r="E417" s="11" t="n">
        <v>12</v>
      </c>
      <c r="F417" s="11" t="n">
        <v>15</v>
      </c>
      <c r="G417" s="11" t="n">
        <v>1</v>
      </c>
      <c r="H417" s="13" t="n">
        <v>65</v>
      </c>
      <c r="I417" s="16" t="n">
        <v>0.15</v>
      </c>
      <c r="J417" s="13" t="n">
        <f aca="false">G417*H417</f>
        <v>65</v>
      </c>
      <c r="K417" s="13" t="n">
        <f aca="false">J417*(1-I417)</f>
        <v>55.25</v>
      </c>
    </row>
    <row r="418" customFormat="false" ht="15" hidden="false" customHeight="false" outlineLevel="0" collapsed="false">
      <c r="A418" s="11" t="n">
        <v>417</v>
      </c>
      <c r="B418" s="15" t="n">
        <v>45810</v>
      </c>
      <c r="C418" s="11" t="n">
        <v>1</v>
      </c>
      <c r="D418" s="11" t="n">
        <v>2</v>
      </c>
      <c r="E418" s="11" t="n">
        <v>41</v>
      </c>
      <c r="F418" s="11" t="n">
        <v>12</v>
      </c>
      <c r="G418" s="11" t="n">
        <v>1</v>
      </c>
      <c r="H418" s="13" t="n">
        <v>45</v>
      </c>
      <c r="I418" s="16" t="n">
        <v>0</v>
      </c>
      <c r="J418" s="13" t="n">
        <f aca="false">G418*H418</f>
        <v>45</v>
      </c>
      <c r="K418" s="13" t="n">
        <f aca="false">J418*(1-I418)</f>
        <v>45</v>
      </c>
    </row>
    <row r="419" customFormat="false" ht="15" hidden="false" customHeight="false" outlineLevel="0" collapsed="false">
      <c r="A419" s="11" t="n">
        <v>418</v>
      </c>
      <c r="B419" s="15" t="n">
        <v>45811</v>
      </c>
      <c r="C419" s="11" t="n">
        <v>2</v>
      </c>
      <c r="D419" s="11" t="n">
        <v>5</v>
      </c>
      <c r="E419" s="11" t="n">
        <v>21</v>
      </c>
      <c r="F419" s="11" t="n">
        <v>19</v>
      </c>
      <c r="G419" s="11" t="n">
        <v>2</v>
      </c>
      <c r="H419" s="13" t="n">
        <v>125</v>
      </c>
      <c r="I419" s="16" t="n">
        <v>0</v>
      </c>
      <c r="J419" s="13" t="n">
        <f aca="false">G419*H419</f>
        <v>250</v>
      </c>
      <c r="K419" s="13" t="n">
        <f aca="false">J419*(1-I419)</f>
        <v>250</v>
      </c>
    </row>
    <row r="420" customFormat="false" ht="15" hidden="false" customHeight="false" outlineLevel="0" collapsed="false">
      <c r="A420" s="11" t="n">
        <v>419</v>
      </c>
      <c r="B420" s="15" t="n">
        <v>45812</v>
      </c>
      <c r="C420" s="11" t="n">
        <v>3</v>
      </c>
      <c r="D420" s="11" t="n">
        <v>7</v>
      </c>
      <c r="E420" s="11" t="n">
        <v>32</v>
      </c>
      <c r="F420" s="11" t="n">
        <v>3</v>
      </c>
      <c r="G420" s="11" t="n">
        <v>3</v>
      </c>
      <c r="H420" s="13" t="n">
        <v>38</v>
      </c>
      <c r="I420" s="16" t="n">
        <v>0</v>
      </c>
      <c r="J420" s="13" t="n">
        <f aca="false">G420*H420</f>
        <v>114</v>
      </c>
      <c r="K420" s="13" t="n">
        <f aca="false">J420*(1-I420)</f>
        <v>114</v>
      </c>
    </row>
    <row r="421" customFormat="false" ht="15" hidden="false" customHeight="false" outlineLevel="0" collapsed="false">
      <c r="A421" s="11" t="n">
        <v>420</v>
      </c>
      <c r="B421" s="15" t="n">
        <v>45812</v>
      </c>
      <c r="C421" s="11" t="n">
        <v>1</v>
      </c>
      <c r="D421" s="11" t="n">
        <v>1</v>
      </c>
      <c r="E421" s="11" t="n">
        <v>16</v>
      </c>
      <c r="F421" s="11" t="n">
        <v>10</v>
      </c>
      <c r="G421" s="11" t="n">
        <v>1</v>
      </c>
      <c r="H421" s="13" t="n">
        <v>70</v>
      </c>
      <c r="I421" s="16" t="n">
        <v>0</v>
      </c>
      <c r="J421" s="13" t="n">
        <f aca="false">G421*H421</f>
        <v>70</v>
      </c>
      <c r="K421" s="13" t="n">
        <f aca="false">J421*(1-I421)</f>
        <v>70</v>
      </c>
    </row>
    <row r="422" customFormat="false" ht="15" hidden="false" customHeight="false" outlineLevel="0" collapsed="false">
      <c r="A422" s="11" t="n">
        <v>421</v>
      </c>
      <c r="B422" s="15" t="n">
        <v>45812</v>
      </c>
      <c r="C422" s="11" t="n">
        <v>1</v>
      </c>
      <c r="D422" s="11" t="n">
        <v>1</v>
      </c>
      <c r="E422" s="11" t="n">
        <v>48</v>
      </c>
      <c r="F422" s="11" t="n">
        <v>15</v>
      </c>
      <c r="G422" s="11" t="n">
        <v>4</v>
      </c>
      <c r="H422" s="13" t="n">
        <v>65</v>
      </c>
      <c r="I422" s="16" t="n">
        <v>0</v>
      </c>
      <c r="J422" s="13" t="n">
        <f aca="false">G422*H422</f>
        <v>260</v>
      </c>
      <c r="K422" s="13" t="n">
        <f aca="false">J422*(1-I422)</f>
        <v>260</v>
      </c>
    </row>
    <row r="423" customFormat="false" ht="15" hidden="false" customHeight="false" outlineLevel="0" collapsed="false">
      <c r="A423" s="11" t="n">
        <v>422</v>
      </c>
      <c r="B423" s="15" t="n">
        <v>45813</v>
      </c>
      <c r="C423" s="11" t="n">
        <v>2</v>
      </c>
      <c r="D423" s="11" t="n">
        <v>5</v>
      </c>
      <c r="E423" s="11" t="n">
        <v>17</v>
      </c>
      <c r="F423" s="11" t="n">
        <v>18</v>
      </c>
      <c r="G423" s="11" t="n">
        <v>1</v>
      </c>
      <c r="H423" s="13" t="n">
        <v>95</v>
      </c>
      <c r="I423" s="16" t="n">
        <v>0</v>
      </c>
      <c r="J423" s="13" t="n">
        <f aca="false">G423*H423</f>
        <v>95</v>
      </c>
      <c r="K423" s="13" t="n">
        <f aca="false">J423*(1-I423)</f>
        <v>95</v>
      </c>
    </row>
    <row r="424" customFormat="false" ht="15" hidden="false" customHeight="false" outlineLevel="0" collapsed="false">
      <c r="A424" s="11" t="n">
        <v>423</v>
      </c>
      <c r="B424" s="15" t="n">
        <v>45815</v>
      </c>
      <c r="C424" s="11" t="n">
        <v>3</v>
      </c>
      <c r="D424" s="11" t="n">
        <v>6</v>
      </c>
      <c r="E424" s="11" t="n">
        <v>59</v>
      </c>
      <c r="F424" s="11" t="n">
        <v>14</v>
      </c>
      <c r="G424" s="11" t="n">
        <v>2</v>
      </c>
      <c r="H424" s="13" t="n">
        <v>38</v>
      </c>
      <c r="I424" s="16" t="n">
        <v>0</v>
      </c>
      <c r="J424" s="13" t="n">
        <f aca="false">G424*H424</f>
        <v>76</v>
      </c>
      <c r="K424" s="13" t="n">
        <f aca="false">J424*(1-I424)</f>
        <v>76</v>
      </c>
    </row>
    <row r="425" customFormat="false" ht="15" hidden="false" customHeight="false" outlineLevel="0" collapsed="false">
      <c r="A425" s="11" t="n">
        <v>424</v>
      </c>
      <c r="B425" s="15" t="n">
        <v>45815</v>
      </c>
      <c r="C425" s="11" t="n">
        <v>3</v>
      </c>
      <c r="D425" s="11" t="n">
        <v>6</v>
      </c>
      <c r="E425" s="11" t="n">
        <v>37</v>
      </c>
      <c r="F425" s="11" t="n">
        <v>6</v>
      </c>
      <c r="G425" s="11" t="n">
        <v>2</v>
      </c>
      <c r="H425" s="13" t="n">
        <v>62</v>
      </c>
      <c r="I425" s="16" t="n">
        <v>0</v>
      </c>
      <c r="J425" s="13" t="n">
        <f aca="false">G425*H425</f>
        <v>124</v>
      </c>
      <c r="K425" s="13" t="n">
        <f aca="false">J425*(1-I425)</f>
        <v>124</v>
      </c>
    </row>
    <row r="426" customFormat="false" ht="15" hidden="false" customHeight="false" outlineLevel="0" collapsed="false">
      <c r="A426" s="11" t="n">
        <v>425</v>
      </c>
      <c r="B426" s="15" t="n">
        <v>45815</v>
      </c>
      <c r="C426" s="11" t="n">
        <v>4</v>
      </c>
      <c r="D426" s="11" t="n">
        <v>8</v>
      </c>
      <c r="E426" s="11" t="n">
        <v>3</v>
      </c>
      <c r="F426" s="11" t="n">
        <v>18</v>
      </c>
      <c r="G426" s="11" t="n">
        <v>1</v>
      </c>
      <c r="H426" s="13" t="n">
        <v>95</v>
      </c>
      <c r="I426" s="16" t="n">
        <v>0</v>
      </c>
      <c r="J426" s="13" t="n">
        <f aca="false">G426*H426</f>
        <v>95</v>
      </c>
      <c r="K426" s="13" t="n">
        <f aca="false">J426*(1-I426)</f>
        <v>95</v>
      </c>
    </row>
    <row r="427" customFormat="false" ht="15" hidden="false" customHeight="false" outlineLevel="0" collapsed="false">
      <c r="A427" s="11" t="n">
        <v>426</v>
      </c>
      <c r="B427" s="15" t="n">
        <v>45816</v>
      </c>
      <c r="C427" s="11" t="n">
        <v>5</v>
      </c>
      <c r="D427" s="11" t="n">
        <v>10</v>
      </c>
      <c r="E427" s="11" t="n">
        <v>30</v>
      </c>
      <c r="F427" s="11" t="n">
        <v>4</v>
      </c>
      <c r="G427" s="11" t="n">
        <v>2</v>
      </c>
      <c r="H427" s="13" t="n">
        <v>55</v>
      </c>
      <c r="I427" s="16" t="n">
        <v>0</v>
      </c>
      <c r="J427" s="13" t="n">
        <f aca="false">G427*H427</f>
        <v>110</v>
      </c>
      <c r="K427" s="13" t="n">
        <f aca="false">J427*(1-I427)</f>
        <v>110</v>
      </c>
    </row>
    <row r="428" customFormat="false" ht="15" hidden="false" customHeight="false" outlineLevel="0" collapsed="false">
      <c r="A428" s="11" t="n">
        <v>427</v>
      </c>
      <c r="B428" s="15" t="n">
        <v>45816</v>
      </c>
      <c r="C428" s="11" t="n">
        <v>3</v>
      </c>
      <c r="D428" s="11" t="n">
        <v>7</v>
      </c>
      <c r="E428" s="11" t="n">
        <v>25</v>
      </c>
      <c r="F428" s="11" t="n">
        <v>15</v>
      </c>
      <c r="G428" s="11" t="n">
        <v>1</v>
      </c>
      <c r="H428" s="13" t="n">
        <v>65</v>
      </c>
      <c r="I428" s="16" t="n">
        <v>0</v>
      </c>
      <c r="J428" s="13" t="n">
        <f aca="false">G428*H428</f>
        <v>65</v>
      </c>
      <c r="K428" s="13" t="n">
        <f aca="false">J428*(1-I428)</f>
        <v>65</v>
      </c>
    </row>
    <row r="429" customFormat="false" ht="15" hidden="false" customHeight="false" outlineLevel="0" collapsed="false">
      <c r="A429" s="11" t="n">
        <v>428</v>
      </c>
      <c r="B429" s="15" t="n">
        <v>45816</v>
      </c>
      <c r="C429" s="11" t="n">
        <v>4</v>
      </c>
      <c r="D429" s="11" t="n">
        <v>9</v>
      </c>
      <c r="E429" s="11" t="n">
        <v>39</v>
      </c>
      <c r="F429" s="11" t="n">
        <v>20</v>
      </c>
      <c r="G429" s="11" t="n">
        <v>1</v>
      </c>
      <c r="H429" s="13" t="n">
        <v>88</v>
      </c>
      <c r="I429" s="16" t="n">
        <v>0</v>
      </c>
      <c r="J429" s="13" t="n">
        <f aca="false">G429*H429</f>
        <v>88</v>
      </c>
      <c r="K429" s="13" t="n">
        <f aca="false">J429*(1-I429)</f>
        <v>88</v>
      </c>
    </row>
    <row r="430" customFormat="false" ht="15" hidden="false" customHeight="false" outlineLevel="0" collapsed="false">
      <c r="A430" s="11" t="n">
        <v>429</v>
      </c>
      <c r="B430" s="15" t="n">
        <v>45816</v>
      </c>
      <c r="C430" s="11" t="n">
        <v>1</v>
      </c>
      <c r="D430" s="11" t="n">
        <v>3</v>
      </c>
      <c r="E430" s="11" t="n">
        <v>1</v>
      </c>
      <c r="F430" s="11" t="n">
        <v>19</v>
      </c>
      <c r="G430" s="11" t="n">
        <v>1</v>
      </c>
      <c r="H430" s="13" t="n">
        <v>125</v>
      </c>
      <c r="I430" s="16" t="n">
        <v>0</v>
      </c>
      <c r="J430" s="13" t="n">
        <f aca="false">G430*H430</f>
        <v>125</v>
      </c>
      <c r="K430" s="13" t="n">
        <f aca="false">J430*(1-I430)</f>
        <v>125</v>
      </c>
    </row>
    <row r="431" customFormat="false" ht="15" hidden="false" customHeight="false" outlineLevel="0" collapsed="false">
      <c r="A431" s="11" t="n">
        <v>430</v>
      </c>
      <c r="B431" s="15" t="n">
        <v>45817</v>
      </c>
      <c r="C431" s="11" t="n">
        <v>4</v>
      </c>
      <c r="D431" s="11" t="n">
        <v>9</v>
      </c>
      <c r="E431" s="11" t="n">
        <v>56</v>
      </c>
      <c r="F431" s="11" t="n">
        <v>4</v>
      </c>
      <c r="G431" s="11" t="n">
        <v>1</v>
      </c>
      <c r="H431" s="13" t="n">
        <v>55</v>
      </c>
      <c r="I431" s="16" t="n">
        <v>0.05</v>
      </c>
      <c r="J431" s="13" t="n">
        <f aca="false">G431*H431</f>
        <v>55</v>
      </c>
      <c r="K431" s="13" t="n">
        <f aca="false">J431*(1-I431)</f>
        <v>52.25</v>
      </c>
    </row>
    <row r="432" customFormat="false" ht="15" hidden="false" customHeight="false" outlineLevel="0" collapsed="false">
      <c r="A432" s="11" t="n">
        <v>431</v>
      </c>
      <c r="B432" s="15" t="n">
        <v>45818</v>
      </c>
      <c r="C432" s="11" t="n">
        <v>2</v>
      </c>
      <c r="D432" s="11" t="n">
        <v>5</v>
      </c>
      <c r="E432" s="11" t="n">
        <v>44</v>
      </c>
      <c r="F432" s="11" t="n">
        <v>20</v>
      </c>
      <c r="G432" s="11" t="n">
        <v>1</v>
      </c>
      <c r="H432" s="13" t="n">
        <v>88</v>
      </c>
      <c r="I432" s="16" t="n">
        <v>0</v>
      </c>
      <c r="J432" s="13" t="n">
        <f aca="false">G432*H432</f>
        <v>88</v>
      </c>
      <c r="K432" s="13" t="n">
        <f aca="false">J432*(1-I432)</f>
        <v>88</v>
      </c>
    </row>
    <row r="433" customFormat="false" ht="15" hidden="false" customHeight="false" outlineLevel="0" collapsed="false">
      <c r="A433" s="11" t="n">
        <v>432</v>
      </c>
      <c r="B433" s="15" t="n">
        <v>45818</v>
      </c>
      <c r="C433" s="11" t="n">
        <v>2</v>
      </c>
      <c r="D433" s="11" t="n">
        <v>4</v>
      </c>
      <c r="E433" s="11" t="n">
        <v>9</v>
      </c>
      <c r="F433" s="11" t="n">
        <v>7</v>
      </c>
      <c r="G433" s="11" t="n">
        <v>1</v>
      </c>
      <c r="H433" s="13" t="n">
        <v>50</v>
      </c>
      <c r="I433" s="16" t="n">
        <v>0.15</v>
      </c>
      <c r="J433" s="13" t="n">
        <f aca="false">G433*H433</f>
        <v>50</v>
      </c>
      <c r="K433" s="13" t="n">
        <f aca="false">J433*(1-I433)</f>
        <v>42.5</v>
      </c>
    </row>
    <row r="434" customFormat="false" ht="15" hidden="false" customHeight="false" outlineLevel="0" collapsed="false">
      <c r="A434" s="11" t="n">
        <v>433</v>
      </c>
      <c r="B434" s="15" t="n">
        <v>45819</v>
      </c>
      <c r="C434" s="11" t="n">
        <v>1</v>
      </c>
      <c r="D434" s="11" t="n">
        <v>3</v>
      </c>
      <c r="E434" s="11" t="n">
        <v>52</v>
      </c>
      <c r="F434" s="11" t="n">
        <v>10</v>
      </c>
      <c r="G434" s="11" t="n">
        <v>2</v>
      </c>
      <c r="H434" s="13" t="n">
        <v>70</v>
      </c>
      <c r="I434" s="16" t="n">
        <v>0</v>
      </c>
      <c r="J434" s="13" t="n">
        <f aca="false">G434*H434</f>
        <v>140</v>
      </c>
      <c r="K434" s="13" t="n">
        <f aca="false">J434*(1-I434)</f>
        <v>140</v>
      </c>
    </row>
    <row r="435" customFormat="false" ht="15" hidden="false" customHeight="false" outlineLevel="0" collapsed="false">
      <c r="A435" s="11" t="n">
        <v>434</v>
      </c>
      <c r="B435" s="15" t="n">
        <v>45819</v>
      </c>
      <c r="C435" s="11" t="n">
        <v>4</v>
      </c>
      <c r="D435" s="11" t="n">
        <v>8</v>
      </c>
      <c r="E435" s="11" t="n">
        <v>30</v>
      </c>
      <c r="F435" s="11" t="n">
        <v>13</v>
      </c>
      <c r="G435" s="11" t="n">
        <v>2</v>
      </c>
      <c r="H435" s="13" t="n">
        <v>32</v>
      </c>
      <c r="I435" s="16" t="n">
        <v>0.05</v>
      </c>
      <c r="J435" s="13" t="n">
        <f aca="false">G435*H435</f>
        <v>64</v>
      </c>
      <c r="K435" s="13" t="n">
        <f aca="false">J435*(1-I435)</f>
        <v>60.8</v>
      </c>
    </row>
    <row r="436" customFormat="false" ht="15" hidden="false" customHeight="false" outlineLevel="0" collapsed="false">
      <c r="A436" s="11" t="n">
        <v>435</v>
      </c>
      <c r="B436" s="15" t="n">
        <v>45820</v>
      </c>
      <c r="C436" s="11" t="n">
        <v>1</v>
      </c>
      <c r="D436" s="11" t="n">
        <v>3</v>
      </c>
      <c r="E436" s="11" t="n">
        <v>22</v>
      </c>
      <c r="F436" s="11" t="n">
        <v>1</v>
      </c>
      <c r="G436" s="11" t="n">
        <v>3</v>
      </c>
      <c r="H436" s="13" t="n">
        <v>35</v>
      </c>
      <c r="I436" s="16" t="n">
        <v>0.05</v>
      </c>
      <c r="J436" s="13" t="n">
        <f aca="false">G436*H436</f>
        <v>105</v>
      </c>
      <c r="K436" s="13" t="n">
        <f aca="false">J436*(1-I436)</f>
        <v>99.75</v>
      </c>
    </row>
    <row r="437" customFormat="false" ht="15" hidden="false" customHeight="false" outlineLevel="0" collapsed="false">
      <c r="A437" s="11" t="n">
        <v>436</v>
      </c>
      <c r="B437" s="15" t="n">
        <v>45820</v>
      </c>
      <c r="C437" s="11" t="n">
        <v>3</v>
      </c>
      <c r="D437" s="11" t="n">
        <v>6</v>
      </c>
      <c r="E437" s="11" t="n">
        <v>31</v>
      </c>
      <c r="F437" s="11" t="n">
        <v>16</v>
      </c>
      <c r="G437" s="11" t="n">
        <v>1</v>
      </c>
      <c r="H437" s="13" t="n">
        <v>45</v>
      </c>
      <c r="I437" s="16" t="n">
        <v>0</v>
      </c>
      <c r="J437" s="13" t="n">
        <f aca="false">G437*H437</f>
        <v>45</v>
      </c>
      <c r="K437" s="13" t="n">
        <f aca="false">J437*(1-I437)</f>
        <v>45</v>
      </c>
    </row>
    <row r="438" customFormat="false" ht="15" hidden="false" customHeight="false" outlineLevel="0" collapsed="false">
      <c r="A438" s="11" t="n">
        <v>437</v>
      </c>
      <c r="B438" s="15" t="n">
        <v>45821</v>
      </c>
      <c r="C438" s="11" t="n">
        <v>5</v>
      </c>
      <c r="D438" s="11" t="n">
        <v>10</v>
      </c>
      <c r="E438" s="11" t="n">
        <v>15</v>
      </c>
      <c r="F438" s="11" t="n">
        <v>1</v>
      </c>
      <c r="G438" s="11" t="n">
        <v>1</v>
      </c>
      <c r="H438" s="13" t="n">
        <v>35</v>
      </c>
      <c r="I438" s="16" t="n">
        <v>0</v>
      </c>
      <c r="J438" s="13" t="n">
        <f aca="false">G438*H438</f>
        <v>35</v>
      </c>
      <c r="K438" s="13" t="n">
        <f aca="false">J438*(1-I438)</f>
        <v>35</v>
      </c>
    </row>
    <row r="439" customFormat="false" ht="15" hidden="false" customHeight="false" outlineLevel="0" collapsed="false">
      <c r="A439" s="11" t="n">
        <v>438</v>
      </c>
      <c r="B439" s="15" t="n">
        <v>45821</v>
      </c>
      <c r="C439" s="11" t="n">
        <v>4</v>
      </c>
      <c r="D439" s="11" t="n">
        <v>9</v>
      </c>
      <c r="E439" s="11" t="n">
        <v>45</v>
      </c>
      <c r="F439" s="11" t="n">
        <v>8</v>
      </c>
      <c r="G439" s="11" t="n">
        <v>1</v>
      </c>
      <c r="H439" s="13" t="n">
        <v>52</v>
      </c>
      <c r="I439" s="16" t="n">
        <v>0</v>
      </c>
      <c r="J439" s="13" t="n">
        <f aca="false">G439*H439</f>
        <v>52</v>
      </c>
      <c r="K439" s="13" t="n">
        <f aca="false">J439*(1-I439)</f>
        <v>52</v>
      </c>
    </row>
    <row r="440" customFormat="false" ht="15" hidden="false" customHeight="false" outlineLevel="0" collapsed="false">
      <c r="A440" s="11" t="n">
        <v>439</v>
      </c>
      <c r="B440" s="15" t="n">
        <v>45821</v>
      </c>
      <c r="C440" s="11" t="n">
        <v>2</v>
      </c>
      <c r="D440" s="11" t="n">
        <v>4</v>
      </c>
      <c r="E440" s="11" t="n">
        <v>34</v>
      </c>
      <c r="F440" s="11" t="n">
        <v>9</v>
      </c>
      <c r="G440" s="11" t="n">
        <v>1</v>
      </c>
      <c r="H440" s="13" t="n">
        <v>40</v>
      </c>
      <c r="I440" s="16" t="n">
        <v>0.1</v>
      </c>
      <c r="J440" s="13" t="n">
        <f aca="false">G440*H440</f>
        <v>40</v>
      </c>
      <c r="K440" s="13" t="n">
        <f aca="false">J440*(1-I440)</f>
        <v>36</v>
      </c>
    </row>
    <row r="441" customFormat="false" ht="15" hidden="false" customHeight="false" outlineLevel="0" collapsed="false">
      <c r="A441" s="11" t="n">
        <v>440</v>
      </c>
      <c r="B441" s="15" t="n">
        <v>45821</v>
      </c>
      <c r="C441" s="11" t="n">
        <v>2</v>
      </c>
      <c r="D441" s="11" t="n">
        <v>4</v>
      </c>
      <c r="E441" s="11" t="n">
        <v>34</v>
      </c>
      <c r="F441" s="11" t="n">
        <v>1</v>
      </c>
      <c r="G441" s="11" t="n">
        <v>2</v>
      </c>
      <c r="H441" s="13" t="n">
        <v>35</v>
      </c>
      <c r="I441" s="16" t="n">
        <v>0</v>
      </c>
      <c r="J441" s="13" t="n">
        <f aca="false">G441*H441</f>
        <v>70</v>
      </c>
      <c r="K441" s="13" t="n">
        <f aca="false">J441*(1-I441)</f>
        <v>70</v>
      </c>
    </row>
    <row r="442" customFormat="false" ht="15" hidden="false" customHeight="false" outlineLevel="0" collapsed="false">
      <c r="A442" s="11" t="n">
        <v>441</v>
      </c>
      <c r="B442" s="15" t="n">
        <v>45821</v>
      </c>
      <c r="C442" s="11" t="n">
        <v>1</v>
      </c>
      <c r="D442" s="11" t="n">
        <v>2</v>
      </c>
      <c r="E442" s="11" t="n">
        <v>47</v>
      </c>
      <c r="F442" s="11" t="n">
        <v>6</v>
      </c>
      <c r="G442" s="11" t="n">
        <v>1</v>
      </c>
      <c r="H442" s="13" t="n">
        <v>62</v>
      </c>
      <c r="I442" s="16" t="n">
        <v>0</v>
      </c>
      <c r="J442" s="13" t="n">
        <f aca="false">G442*H442</f>
        <v>62</v>
      </c>
      <c r="K442" s="13" t="n">
        <f aca="false">J442*(1-I442)</f>
        <v>62</v>
      </c>
    </row>
    <row r="443" customFormat="false" ht="15" hidden="false" customHeight="false" outlineLevel="0" collapsed="false">
      <c r="A443" s="11" t="n">
        <v>442</v>
      </c>
      <c r="B443" s="15" t="n">
        <v>45821</v>
      </c>
      <c r="C443" s="11" t="n">
        <v>1</v>
      </c>
      <c r="D443" s="11" t="n">
        <v>2</v>
      </c>
      <c r="E443" s="11" t="n">
        <v>5</v>
      </c>
      <c r="F443" s="11" t="n">
        <v>18</v>
      </c>
      <c r="G443" s="11" t="n">
        <v>1</v>
      </c>
      <c r="H443" s="13" t="n">
        <v>95</v>
      </c>
      <c r="I443" s="16" t="n">
        <v>0</v>
      </c>
      <c r="J443" s="13" t="n">
        <f aca="false">G443*H443</f>
        <v>95</v>
      </c>
      <c r="K443" s="13" t="n">
        <f aca="false">J443*(1-I443)</f>
        <v>95</v>
      </c>
    </row>
    <row r="444" customFormat="false" ht="15" hidden="false" customHeight="false" outlineLevel="0" collapsed="false">
      <c r="A444" s="11" t="n">
        <v>443</v>
      </c>
      <c r="B444" s="15" t="n">
        <v>45821</v>
      </c>
      <c r="C444" s="11" t="n">
        <v>5</v>
      </c>
      <c r="D444" s="11" t="n">
        <v>10</v>
      </c>
      <c r="E444" s="11" t="n">
        <v>45</v>
      </c>
      <c r="F444" s="11" t="n">
        <v>19</v>
      </c>
      <c r="G444" s="11" t="n">
        <v>1</v>
      </c>
      <c r="H444" s="13" t="n">
        <v>125</v>
      </c>
      <c r="I444" s="16" t="n">
        <v>0</v>
      </c>
      <c r="J444" s="13" t="n">
        <f aca="false">G444*H444</f>
        <v>125</v>
      </c>
      <c r="K444" s="13" t="n">
        <f aca="false">J444*(1-I444)</f>
        <v>125</v>
      </c>
    </row>
    <row r="445" customFormat="false" ht="15" hidden="false" customHeight="false" outlineLevel="0" collapsed="false">
      <c r="A445" s="11" t="n">
        <v>444</v>
      </c>
      <c r="B445" s="15" t="n">
        <v>45822</v>
      </c>
      <c r="C445" s="11" t="n">
        <v>1</v>
      </c>
      <c r="D445" s="11" t="n">
        <v>1</v>
      </c>
      <c r="E445" s="11" t="n">
        <v>5</v>
      </c>
      <c r="F445" s="11" t="n">
        <v>13</v>
      </c>
      <c r="G445" s="11" t="n">
        <v>1</v>
      </c>
      <c r="H445" s="13" t="n">
        <v>32</v>
      </c>
      <c r="I445" s="16" t="n">
        <v>0.05</v>
      </c>
      <c r="J445" s="13" t="n">
        <f aca="false">G445*H445</f>
        <v>32</v>
      </c>
      <c r="K445" s="13" t="n">
        <f aca="false">J445*(1-I445)</f>
        <v>30.4</v>
      </c>
    </row>
    <row r="446" customFormat="false" ht="15" hidden="false" customHeight="false" outlineLevel="0" collapsed="false">
      <c r="A446" s="11" t="n">
        <v>445</v>
      </c>
      <c r="B446" s="15" t="n">
        <v>45822</v>
      </c>
      <c r="C446" s="11" t="n">
        <v>2</v>
      </c>
      <c r="D446" s="11" t="n">
        <v>5</v>
      </c>
      <c r="E446" s="11" t="n">
        <v>52</v>
      </c>
      <c r="F446" s="11" t="n">
        <v>5</v>
      </c>
      <c r="G446" s="11" t="n">
        <v>1</v>
      </c>
      <c r="H446" s="13" t="n">
        <v>58</v>
      </c>
      <c r="I446" s="16" t="n">
        <v>0</v>
      </c>
      <c r="J446" s="13" t="n">
        <f aca="false">G446*H446</f>
        <v>58</v>
      </c>
      <c r="K446" s="13" t="n">
        <f aca="false">J446*(1-I446)</f>
        <v>58</v>
      </c>
    </row>
    <row r="447" customFormat="false" ht="15" hidden="false" customHeight="false" outlineLevel="0" collapsed="false">
      <c r="A447" s="11" t="n">
        <v>446</v>
      </c>
      <c r="B447" s="15" t="n">
        <v>45823</v>
      </c>
      <c r="C447" s="11" t="n">
        <v>4</v>
      </c>
      <c r="D447" s="11" t="n">
        <v>9</v>
      </c>
      <c r="E447" s="11" t="n">
        <v>14</v>
      </c>
      <c r="F447" s="11" t="n">
        <v>7</v>
      </c>
      <c r="G447" s="11" t="n">
        <v>3</v>
      </c>
      <c r="H447" s="13" t="n">
        <v>50</v>
      </c>
      <c r="I447" s="16" t="n">
        <v>0</v>
      </c>
      <c r="J447" s="13" t="n">
        <f aca="false">G447*H447</f>
        <v>150</v>
      </c>
      <c r="K447" s="13" t="n">
        <f aca="false">J447*(1-I447)</f>
        <v>150</v>
      </c>
    </row>
    <row r="448" customFormat="false" ht="15" hidden="false" customHeight="false" outlineLevel="0" collapsed="false">
      <c r="A448" s="11" t="n">
        <v>447</v>
      </c>
      <c r="B448" s="15" t="n">
        <v>45823</v>
      </c>
      <c r="C448" s="11" t="n">
        <v>1</v>
      </c>
      <c r="D448" s="11" t="n">
        <v>1</v>
      </c>
      <c r="E448" s="11" t="n">
        <v>26</v>
      </c>
      <c r="F448" s="11" t="n">
        <v>17</v>
      </c>
      <c r="G448" s="11" t="n">
        <v>2</v>
      </c>
      <c r="H448" s="13" t="n">
        <v>28</v>
      </c>
      <c r="I448" s="16" t="n">
        <v>0</v>
      </c>
      <c r="J448" s="13" t="n">
        <f aca="false">G448*H448</f>
        <v>56</v>
      </c>
      <c r="K448" s="13" t="n">
        <f aca="false">J448*(1-I448)</f>
        <v>56</v>
      </c>
    </row>
    <row r="449" customFormat="false" ht="15" hidden="false" customHeight="false" outlineLevel="0" collapsed="false">
      <c r="A449" s="11" t="n">
        <v>448</v>
      </c>
      <c r="B449" s="15" t="n">
        <v>45823</v>
      </c>
      <c r="C449" s="11" t="n">
        <v>1</v>
      </c>
      <c r="D449" s="11" t="n">
        <v>3</v>
      </c>
      <c r="E449" s="11" t="n">
        <v>15</v>
      </c>
      <c r="F449" s="11" t="n">
        <v>1</v>
      </c>
      <c r="G449" s="11" t="n">
        <v>1</v>
      </c>
      <c r="H449" s="13" t="n">
        <v>35</v>
      </c>
      <c r="I449" s="16" t="n">
        <v>0.05</v>
      </c>
      <c r="J449" s="13" t="n">
        <f aca="false">G449*H449</f>
        <v>35</v>
      </c>
      <c r="K449" s="13" t="n">
        <f aca="false">J449*(1-I449)</f>
        <v>33.25</v>
      </c>
    </row>
    <row r="450" customFormat="false" ht="15" hidden="false" customHeight="false" outlineLevel="0" collapsed="false">
      <c r="A450" s="11" t="n">
        <v>449</v>
      </c>
      <c r="B450" s="15" t="n">
        <v>45823</v>
      </c>
      <c r="C450" s="11" t="n">
        <v>1</v>
      </c>
      <c r="D450" s="11" t="n">
        <v>3</v>
      </c>
      <c r="E450" s="11" t="n">
        <v>48</v>
      </c>
      <c r="F450" s="11" t="n">
        <v>18</v>
      </c>
      <c r="G450" s="11" t="n">
        <v>3</v>
      </c>
      <c r="H450" s="13" t="n">
        <v>95</v>
      </c>
      <c r="I450" s="16" t="n">
        <v>0</v>
      </c>
      <c r="J450" s="13" t="n">
        <f aca="false">G450*H450</f>
        <v>285</v>
      </c>
      <c r="K450" s="13" t="n">
        <f aca="false">J450*(1-I450)</f>
        <v>285</v>
      </c>
    </row>
    <row r="451" customFormat="false" ht="15" hidden="false" customHeight="false" outlineLevel="0" collapsed="false">
      <c r="A451" s="11" t="n">
        <v>450</v>
      </c>
      <c r="B451" s="15" t="n">
        <v>45823</v>
      </c>
      <c r="C451" s="11" t="n">
        <v>5</v>
      </c>
      <c r="D451" s="11" t="n">
        <v>10</v>
      </c>
      <c r="E451" s="11" t="n">
        <v>46</v>
      </c>
      <c r="F451" s="11" t="n">
        <v>18</v>
      </c>
      <c r="G451" s="11" t="n">
        <v>1</v>
      </c>
      <c r="H451" s="13" t="n">
        <v>95</v>
      </c>
      <c r="I451" s="16" t="n">
        <v>0.15</v>
      </c>
      <c r="J451" s="13" t="n">
        <f aca="false">G451*H451</f>
        <v>95</v>
      </c>
      <c r="K451" s="13" t="n">
        <f aca="false">J451*(1-I451)</f>
        <v>80.75</v>
      </c>
    </row>
    <row r="452" customFormat="false" ht="15" hidden="false" customHeight="false" outlineLevel="0" collapsed="false">
      <c r="A452" s="11" t="n">
        <v>451</v>
      </c>
      <c r="B452" s="15" t="n">
        <v>45823</v>
      </c>
      <c r="C452" s="11" t="n">
        <v>4</v>
      </c>
      <c r="D452" s="11" t="n">
        <v>8</v>
      </c>
      <c r="E452" s="11" t="n">
        <v>14</v>
      </c>
      <c r="F452" s="11" t="n">
        <v>15</v>
      </c>
      <c r="G452" s="11" t="n">
        <v>2</v>
      </c>
      <c r="H452" s="13" t="n">
        <v>65</v>
      </c>
      <c r="I452" s="16" t="n">
        <v>0</v>
      </c>
      <c r="J452" s="13" t="n">
        <f aca="false">G452*H452</f>
        <v>130</v>
      </c>
      <c r="K452" s="13" t="n">
        <f aca="false">J452*(1-I452)</f>
        <v>130</v>
      </c>
    </row>
    <row r="453" customFormat="false" ht="15" hidden="false" customHeight="false" outlineLevel="0" collapsed="false">
      <c r="A453" s="11" t="n">
        <v>452</v>
      </c>
      <c r="B453" s="15" t="n">
        <v>45824</v>
      </c>
      <c r="C453" s="11" t="n">
        <v>2</v>
      </c>
      <c r="D453" s="11" t="n">
        <v>4</v>
      </c>
      <c r="E453" s="11" t="n">
        <v>35</v>
      </c>
      <c r="F453" s="11" t="n">
        <v>7</v>
      </c>
      <c r="G453" s="11" t="n">
        <v>2</v>
      </c>
      <c r="H453" s="13" t="n">
        <v>50</v>
      </c>
      <c r="I453" s="16" t="n">
        <v>0.1</v>
      </c>
      <c r="J453" s="13" t="n">
        <f aca="false">G453*H453</f>
        <v>100</v>
      </c>
      <c r="K453" s="13" t="n">
        <f aca="false">J453*(1-I453)</f>
        <v>90</v>
      </c>
    </row>
    <row r="454" customFormat="false" ht="15" hidden="false" customHeight="false" outlineLevel="0" collapsed="false">
      <c r="A454" s="11" t="n">
        <v>453</v>
      </c>
      <c r="B454" s="15" t="n">
        <v>45825</v>
      </c>
      <c r="C454" s="11" t="n">
        <v>5</v>
      </c>
      <c r="D454" s="11" t="n">
        <v>10</v>
      </c>
      <c r="E454" s="11" t="n">
        <v>35</v>
      </c>
      <c r="F454" s="11" t="n">
        <v>2</v>
      </c>
      <c r="G454" s="11" t="n">
        <v>2</v>
      </c>
      <c r="H454" s="13" t="n">
        <v>45</v>
      </c>
      <c r="I454" s="16" t="n">
        <v>0</v>
      </c>
      <c r="J454" s="13" t="n">
        <f aca="false">G454*H454</f>
        <v>90</v>
      </c>
      <c r="K454" s="13" t="n">
        <f aca="false">J454*(1-I454)</f>
        <v>90</v>
      </c>
    </row>
    <row r="455" customFormat="false" ht="15" hidden="false" customHeight="false" outlineLevel="0" collapsed="false">
      <c r="A455" s="11" t="n">
        <v>454</v>
      </c>
      <c r="B455" s="15" t="n">
        <v>45825</v>
      </c>
      <c r="C455" s="11" t="n">
        <v>2</v>
      </c>
      <c r="D455" s="11" t="n">
        <v>5</v>
      </c>
      <c r="E455" s="11" t="n">
        <v>37</v>
      </c>
      <c r="F455" s="11" t="n">
        <v>8</v>
      </c>
      <c r="G455" s="11" t="n">
        <v>1</v>
      </c>
      <c r="H455" s="13" t="n">
        <v>52</v>
      </c>
      <c r="I455" s="16" t="n">
        <v>0</v>
      </c>
      <c r="J455" s="13" t="n">
        <f aca="false">G455*H455</f>
        <v>52</v>
      </c>
      <c r="K455" s="13" t="n">
        <f aca="false">J455*(1-I455)</f>
        <v>52</v>
      </c>
    </row>
    <row r="456" customFormat="false" ht="15" hidden="false" customHeight="false" outlineLevel="0" collapsed="false">
      <c r="A456" s="11" t="n">
        <v>455</v>
      </c>
      <c r="B456" s="15" t="n">
        <v>45825</v>
      </c>
      <c r="C456" s="11" t="n">
        <v>1</v>
      </c>
      <c r="D456" s="11" t="n">
        <v>3</v>
      </c>
      <c r="E456" s="11" t="n">
        <v>20</v>
      </c>
      <c r="F456" s="11" t="n">
        <v>20</v>
      </c>
      <c r="G456" s="11" t="n">
        <v>1</v>
      </c>
      <c r="H456" s="13" t="n">
        <v>88</v>
      </c>
      <c r="I456" s="16" t="n">
        <v>0</v>
      </c>
      <c r="J456" s="13" t="n">
        <f aca="false">G456*H456</f>
        <v>88</v>
      </c>
      <c r="K456" s="13" t="n">
        <f aca="false">J456*(1-I456)</f>
        <v>88</v>
      </c>
    </row>
    <row r="457" customFormat="false" ht="15" hidden="false" customHeight="false" outlineLevel="0" collapsed="false">
      <c r="A457" s="11" t="n">
        <v>456</v>
      </c>
      <c r="B457" s="15" t="n">
        <v>45826</v>
      </c>
      <c r="C457" s="11" t="n">
        <v>1</v>
      </c>
      <c r="D457" s="11" t="n">
        <v>1</v>
      </c>
      <c r="E457" s="11" t="n">
        <v>30</v>
      </c>
      <c r="F457" s="11" t="n">
        <v>4</v>
      </c>
      <c r="G457" s="11" t="n">
        <v>1</v>
      </c>
      <c r="H457" s="13" t="n">
        <v>55</v>
      </c>
      <c r="I457" s="16" t="n">
        <v>0</v>
      </c>
      <c r="J457" s="13" t="n">
        <f aca="false">G457*H457</f>
        <v>55</v>
      </c>
      <c r="K457" s="13" t="n">
        <f aca="false">J457*(1-I457)</f>
        <v>55</v>
      </c>
    </row>
    <row r="458" customFormat="false" ht="15" hidden="false" customHeight="false" outlineLevel="0" collapsed="false">
      <c r="A458" s="11" t="n">
        <v>457</v>
      </c>
      <c r="B458" s="15" t="n">
        <v>45826</v>
      </c>
      <c r="C458" s="11" t="n">
        <v>2</v>
      </c>
      <c r="D458" s="11" t="n">
        <v>4</v>
      </c>
      <c r="E458" s="11" t="n">
        <v>29</v>
      </c>
      <c r="F458" s="11" t="n">
        <v>10</v>
      </c>
      <c r="G458" s="11" t="n">
        <v>1</v>
      </c>
      <c r="H458" s="13" t="n">
        <v>70</v>
      </c>
      <c r="I458" s="16" t="n">
        <v>0.05</v>
      </c>
      <c r="J458" s="13" t="n">
        <f aca="false">G458*H458</f>
        <v>70</v>
      </c>
      <c r="K458" s="13" t="n">
        <f aca="false">J458*(1-I458)</f>
        <v>66.5</v>
      </c>
    </row>
    <row r="459" customFormat="false" ht="15" hidden="false" customHeight="false" outlineLevel="0" collapsed="false">
      <c r="A459" s="11" t="n">
        <v>458</v>
      </c>
      <c r="B459" s="15" t="n">
        <v>45826</v>
      </c>
      <c r="C459" s="11" t="n">
        <v>4</v>
      </c>
      <c r="D459" s="11" t="n">
        <v>8</v>
      </c>
      <c r="E459" s="11" t="n">
        <v>4</v>
      </c>
      <c r="F459" s="11" t="n">
        <v>12</v>
      </c>
      <c r="G459" s="11" t="n">
        <v>1</v>
      </c>
      <c r="H459" s="13" t="n">
        <v>45</v>
      </c>
      <c r="I459" s="16" t="n">
        <v>0</v>
      </c>
      <c r="J459" s="13" t="n">
        <f aca="false">G459*H459</f>
        <v>45</v>
      </c>
      <c r="K459" s="13" t="n">
        <f aca="false">J459*(1-I459)</f>
        <v>45</v>
      </c>
    </row>
    <row r="460" customFormat="false" ht="15" hidden="false" customHeight="false" outlineLevel="0" collapsed="false">
      <c r="A460" s="11" t="n">
        <v>459</v>
      </c>
      <c r="B460" s="15" t="n">
        <v>45826</v>
      </c>
      <c r="C460" s="11" t="n">
        <v>3</v>
      </c>
      <c r="D460" s="11" t="n">
        <v>7</v>
      </c>
      <c r="E460" s="11" t="n">
        <v>37</v>
      </c>
      <c r="F460" s="11" t="n">
        <v>12</v>
      </c>
      <c r="G460" s="11" t="n">
        <v>2</v>
      </c>
      <c r="H460" s="13" t="n">
        <v>45</v>
      </c>
      <c r="I460" s="16" t="n">
        <v>0</v>
      </c>
      <c r="J460" s="13" t="n">
        <f aca="false">G460*H460</f>
        <v>90</v>
      </c>
      <c r="K460" s="13" t="n">
        <f aca="false">J460*(1-I460)</f>
        <v>90</v>
      </c>
    </row>
    <row r="461" customFormat="false" ht="15" hidden="false" customHeight="false" outlineLevel="0" collapsed="false">
      <c r="A461" s="11" t="n">
        <v>460</v>
      </c>
      <c r="B461" s="15" t="n">
        <v>45826</v>
      </c>
      <c r="C461" s="11" t="n">
        <v>1</v>
      </c>
      <c r="D461" s="11" t="n">
        <v>2</v>
      </c>
      <c r="E461" s="11" t="n">
        <v>26</v>
      </c>
      <c r="F461" s="11" t="n">
        <v>6</v>
      </c>
      <c r="G461" s="11" t="n">
        <v>1</v>
      </c>
      <c r="H461" s="13" t="n">
        <v>62</v>
      </c>
      <c r="I461" s="16" t="n">
        <v>0</v>
      </c>
      <c r="J461" s="13" t="n">
        <f aca="false">G461*H461</f>
        <v>62</v>
      </c>
      <c r="K461" s="13" t="n">
        <f aca="false">J461*(1-I461)</f>
        <v>62</v>
      </c>
    </row>
    <row r="462" customFormat="false" ht="15" hidden="false" customHeight="false" outlineLevel="0" collapsed="false">
      <c r="A462" s="11" t="n">
        <v>461</v>
      </c>
      <c r="B462" s="15" t="n">
        <v>45827</v>
      </c>
      <c r="C462" s="11" t="n">
        <v>3</v>
      </c>
      <c r="D462" s="11" t="n">
        <v>7</v>
      </c>
      <c r="E462" s="11" t="n">
        <v>60</v>
      </c>
      <c r="F462" s="11" t="n">
        <v>9</v>
      </c>
      <c r="G462" s="11" t="n">
        <v>1</v>
      </c>
      <c r="H462" s="13" t="n">
        <v>40</v>
      </c>
      <c r="I462" s="16" t="n">
        <v>0</v>
      </c>
      <c r="J462" s="13" t="n">
        <f aca="false">G462*H462</f>
        <v>40</v>
      </c>
      <c r="K462" s="13" t="n">
        <f aca="false">J462*(1-I462)</f>
        <v>40</v>
      </c>
    </row>
    <row r="463" customFormat="false" ht="15" hidden="false" customHeight="false" outlineLevel="0" collapsed="false">
      <c r="A463" s="11" t="n">
        <v>462</v>
      </c>
      <c r="B463" s="15" t="n">
        <v>45827</v>
      </c>
      <c r="C463" s="11" t="n">
        <v>2</v>
      </c>
      <c r="D463" s="11" t="n">
        <v>5</v>
      </c>
      <c r="E463" s="11" t="n">
        <v>45</v>
      </c>
      <c r="F463" s="11" t="n">
        <v>9</v>
      </c>
      <c r="G463" s="11" t="n">
        <v>1</v>
      </c>
      <c r="H463" s="13" t="n">
        <v>40</v>
      </c>
      <c r="I463" s="16" t="n">
        <v>0</v>
      </c>
      <c r="J463" s="13" t="n">
        <f aca="false">G463*H463</f>
        <v>40</v>
      </c>
      <c r="K463" s="13" t="n">
        <f aca="false">J463*(1-I463)</f>
        <v>40</v>
      </c>
    </row>
    <row r="464" customFormat="false" ht="15" hidden="false" customHeight="false" outlineLevel="0" collapsed="false">
      <c r="A464" s="11" t="n">
        <v>463</v>
      </c>
      <c r="B464" s="15" t="n">
        <v>45827</v>
      </c>
      <c r="C464" s="11" t="n">
        <v>2</v>
      </c>
      <c r="D464" s="11" t="n">
        <v>4</v>
      </c>
      <c r="E464" s="11" t="n">
        <v>34</v>
      </c>
      <c r="F464" s="11" t="n">
        <v>12</v>
      </c>
      <c r="G464" s="11" t="n">
        <v>1</v>
      </c>
      <c r="H464" s="13" t="n">
        <v>45</v>
      </c>
      <c r="I464" s="16" t="n">
        <v>0</v>
      </c>
      <c r="J464" s="13" t="n">
        <f aca="false">G464*H464</f>
        <v>45</v>
      </c>
      <c r="K464" s="13" t="n">
        <f aca="false">J464*(1-I464)</f>
        <v>45</v>
      </c>
    </row>
    <row r="465" customFormat="false" ht="15" hidden="false" customHeight="false" outlineLevel="0" collapsed="false">
      <c r="A465" s="11" t="n">
        <v>464</v>
      </c>
      <c r="B465" s="15" t="n">
        <v>45827</v>
      </c>
      <c r="C465" s="11" t="n">
        <v>3</v>
      </c>
      <c r="D465" s="11" t="n">
        <v>7</v>
      </c>
      <c r="E465" s="11" t="n">
        <v>43</v>
      </c>
      <c r="F465" s="11" t="n">
        <v>5</v>
      </c>
      <c r="G465" s="11" t="n">
        <v>1</v>
      </c>
      <c r="H465" s="13" t="n">
        <v>58</v>
      </c>
      <c r="I465" s="16" t="n">
        <v>0</v>
      </c>
      <c r="J465" s="13" t="n">
        <f aca="false">G465*H465</f>
        <v>58</v>
      </c>
      <c r="K465" s="13" t="n">
        <f aca="false">J465*(1-I465)</f>
        <v>58</v>
      </c>
    </row>
    <row r="466" customFormat="false" ht="15" hidden="false" customHeight="false" outlineLevel="0" collapsed="false">
      <c r="A466" s="11" t="n">
        <v>465</v>
      </c>
      <c r="B466" s="15" t="n">
        <v>45827</v>
      </c>
      <c r="C466" s="11" t="n">
        <v>3</v>
      </c>
      <c r="D466" s="11" t="n">
        <v>6</v>
      </c>
      <c r="E466" s="11" t="n">
        <v>54</v>
      </c>
      <c r="F466" s="11" t="n">
        <v>6</v>
      </c>
      <c r="G466" s="11" t="n">
        <v>1</v>
      </c>
      <c r="H466" s="13" t="n">
        <v>62</v>
      </c>
      <c r="I466" s="16" t="n">
        <v>0.05</v>
      </c>
      <c r="J466" s="13" t="n">
        <f aca="false">G466*H466</f>
        <v>62</v>
      </c>
      <c r="K466" s="13" t="n">
        <f aca="false">J466*(1-I466)</f>
        <v>58.9</v>
      </c>
    </row>
    <row r="467" customFormat="false" ht="15" hidden="false" customHeight="false" outlineLevel="0" collapsed="false">
      <c r="A467" s="11" t="n">
        <v>466</v>
      </c>
      <c r="B467" s="15" t="n">
        <v>45827</v>
      </c>
      <c r="C467" s="11" t="n">
        <v>5</v>
      </c>
      <c r="D467" s="11" t="n">
        <v>10</v>
      </c>
      <c r="E467" s="11" t="n">
        <v>54</v>
      </c>
      <c r="F467" s="11" t="n">
        <v>11</v>
      </c>
      <c r="G467" s="11" t="n">
        <v>1</v>
      </c>
      <c r="H467" s="13" t="n">
        <v>72</v>
      </c>
      <c r="I467" s="16" t="n">
        <v>0</v>
      </c>
      <c r="J467" s="13" t="n">
        <f aca="false">G467*H467</f>
        <v>72</v>
      </c>
      <c r="K467" s="13" t="n">
        <f aca="false">J467*(1-I467)</f>
        <v>72</v>
      </c>
    </row>
    <row r="468" customFormat="false" ht="15" hidden="false" customHeight="false" outlineLevel="0" collapsed="false">
      <c r="A468" s="11" t="n">
        <v>467</v>
      </c>
      <c r="B468" s="15" t="n">
        <v>45828</v>
      </c>
      <c r="C468" s="11" t="n">
        <v>1</v>
      </c>
      <c r="D468" s="11" t="n">
        <v>2</v>
      </c>
      <c r="E468" s="11" t="n">
        <v>28</v>
      </c>
      <c r="F468" s="11" t="n">
        <v>6</v>
      </c>
      <c r="G468" s="11" t="n">
        <v>1</v>
      </c>
      <c r="H468" s="13" t="n">
        <v>62</v>
      </c>
      <c r="I468" s="16" t="n">
        <v>0</v>
      </c>
      <c r="J468" s="13" t="n">
        <f aca="false">G468*H468</f>
        <v>62</v>
      </c>
      <c r="K468" s="13" t="n">
        <f aca="false">J468*(1-I468)</f>
        <v>62</v>
      </c>
    </row>
    <row r="469" customFormat="false" ht="15" hidden="false" customHeight="false" outlineLevel="0" collapsed="false">
      <c r="A469" s="11" t="n">
        <v>468</v>
      </c>
      <c r="B469" s="15" t="n">
        <v>45828</v>
      </c>
      <c r="C469" s="11" t="n">
        <v>1</v>
      </c>
      <c r="D469" s="11" t="n">
        <v>3</v>
      </c>
      <c r="E469" s="11" t="n">
        <v>5</v>
      </c>
      <c r="F469" s="11" t="n">
        <v>18</v>
      </c>
      <c r="G469" s="11" t="n">
        <v>3</v>
      </c>
      <c r="H469" s="13" t="n">
        <v>95</v>
      </c>
      <c r="I469" s="16" t="n">
        <v>0</v>
      </c>
      <c r="J469" s="13" t="n">
        <f aca="false">G469*H469</f>
        <v>285</v>
      </c>
      <c r="K469" s="13" t="n">
        <f aca="false">J469*(1-I469)</f>
        <v>285</v>
      </c>
    </row>
    <row r="470" customFormat="false" ht="15" hidden="false" customHeight="false" outlineLevel="0" collapsed="false">
      <c r="A470" s="11" t="n">
        <v>469</v>
      </c>
      <c r="B470" s="15" t="n">
        <v>45829</v>
      </c>
      <c r="C470" s="11" t="n">
        <v>1</v>
      </c>
      <c r="D470" s="11" t="n">
        <v>1</v>
      </c>
      <c r="E470" s="11" t="n">
        <v>32</v>
      </c>
      <c r="F470" s="11" t="n">
        <v>13</v>
      </c>
      <c r="G470" s="11" t="n">
        <v>1</v>
      </c>
      <c r="H470" s="13" t="n">
        <v>32</v>
      </c>
      <c r="I470" s="16" t="n">
        <v>0</v>
      </c>
      <c r="J470" s="13" t="n">
        <f aca="false">G470*H470</f>
        <v>32</v>
      </c>
      <c r="K470" s="13" t="n">
        <f aca="false">J470*(1-I470)</f>
        <v>32</v>
      </c>
    </row>
    <row r="471" customFormat="false" ht="15" hidden="false" customHeight="false" outlineLevel="0" collapsed="false">
      <c r="A471" s="11" t="n">
        <v>470</v>
      </c>
      <c r="B471" s="15" t="n">
        <v>45829</v>
      </c>
      <c r="C471" s="11" t="n">
        <v>5</v>
      </c>
      <c r="D471" s="11" t="n">
        <v>10</v>
      </c>
      <c r="E471" s="11" t="n">
        <v>56</v>
      </c>
      <c r="F471" s="11" t="n">
        <v>6</v>
      </c>
      <c r="G471" s="11" t="n">
        <v>1</v>
      </c>
      <c r="H471" s="13" t="n">
        <v>62</v>
      </c>
      <c r="I471" s="16" t="n">
        <v>0</v>
      </c>
      <c r="J471" s="13" t="n">
        <f aca="false">G471*H471</f>
        <v>62</v>
      </c>
      <c r="K471" s="13" t="n">
        <f aca="false">J471*(1-I471)</f>
        <v>62</v>
      </c>
    </row>
    <row r="472" customFormat="false" ht="15" hidden="false" customHeight="false" outlineLevel="0" collapsed="false">
      <c r="A472" s="11" t="n">
        <v>471</v>
      </c>
      <c r="B472" s="15" t="n">
        <v>45830</v>
      </c>
      <c r="C472" s="11" t="n">
        <v>4</v>
      </c>
      <c r="D472" s="11" t="n">
        <v>9</v>
      </c>
      <c r="E472" s="11" t="n">
        <v>47</v>
      </c>
      <c r="F472" s="11" t="n">
        <v>6</v>
      </c>
      <c r="G472" s="11" t="n">
        <v>3</v>
      </c>
      <c r="H472" s="13" t="n">
        <v>62</v>
      </c>
      <c r="I472" s="16" t="n">
        <v>0.1</v>
      </c>
      <c r="J472" s="13" t="n">
        <f aca="false">G472*H472</f>
        <v>186</v>
      </c>
      <c r="K472" s="13" t="n">
        <f aca="false">J472*(1-I472)</f>
        <v>167.4</v>
      </c>
    </row>
    <row r="473" customFormat="false" ht="15" hidden="false" customHeight="false" outlineLevel="0" collapsed="false">
      <c r="A473" s="11" t="n">
        <v>472</v>
      </c>
      <c r="B473" s="15" t="n">
        <v>45830</v>
      </c>
      <c r="C473" s="11" t="n">
        <v>4</v>
      </c>
      <c r="D473" s="11" t="n">
        <v>8</v>
      </c>
      <c r="E473" s="11" t="n">
        <v>32</v>
      </c>
      <c r="F473" s="11" t="n">
        <v>2</v>
      </c>
      <c r="G473" s="11" t="n">
        <v>1</v>
      </c>
      <c r="H473" s="13" t="n">
        <v>45</v>
      </c>
      <c r="I473" s="16" t="n">
        <v>0.1</v>
      </c>
      <c r="J473" s="13" t="n">
        <f aca="false">G473*H473</f>
        <v>45</v>
      </c>
      <c r="K473" s="13" t="n">
        <f aca="false">J473*(1-I473)</f>
        <v>40.5</v>
      </c>
    </row>
    <row r="474" customFormat="false" ht="15" hidden="false" customHeight="false" outlineLevel="0" collapsed="false">
      <c r="A474" s="11" t="n">
        <v>473</v>
      </c>
      <c r="B474" s="15" t="n">
        <v>45830</v>
      </c>
      <c r="C474" s="11" t="n">
        <v>2</v>
      </c>
      <c r="D474" s="11" t="n">
        <v>5</v>
      </c>
      <c r="E474" s="11" t="n">
        <v>4</v>
      </c>
      <c r="F474" s="11" t="n">
        <v>13</v>
      </c>
      <c r="G474" s="11" t="n">
        <v>1</v>
      </c>
      <c r="H474" s="13" t="n">
        <v>32</v>
      </c>
      <c r="I474" s="16" t="n">
        <v>0.1</v>
      </c>
      <c r="J474" s="13" t="n">
        <f aca="false">G474*H474</f>
        <v>32</v>
      </c>
      <c r="K474" s="13" t="n">
        <f aca="false">J474*(1-I474)</f>
        <v>28.8</v>
      </c>
    </row>
    <row r="475" customFormat="false" ht="15" hidden="false" customHeight="false" outlineLevel="0" collapsed="false">
      <c r="A475" s="11" t="n">
        <v>474</v>
      </c>
      <c r="B475" s="15" t="n">
        <v>45830</v>
      </c>
      <c r="C475" s="11" t="n">
        <v>1</v>
      </c>
      <c r="D475" s="11" t="n">
        <v>3</v>
      </c>
      <c r="E475" s="11" t="n">
        <v>59</v>
      </c>
      <c r="F475" s="11" t="n">
        <v>15</v>
      </c>
      <c r="G475" s="11" t="n">
        <v>1</v>
      </c>
      <c r="H475" s="13" t="n">
        <v>65</v>
      </c>
      <c r="I475" s="16" t="n">
        <v>0</v>
      </c>
      <c r="J475" s="13" t="n">
        <f aca="false">G475*H475</f>
        <v>65</v>
      </c>
      <c r="K475" s="13" t="n">
        <f aca="false">J475*(1-I475)</f>
        <v>65</v>
      </c>
    </row>
    <row r="476" customFormat="false" ht="15" hidden="false" customHeight="false" outlineLevel="0" collapsed="false">
      <c r="A476" s="11" t="n">
        <v>475</v>
      </c>
      <c r="B476" s="15" t="n">
        <v>45830</v>
      </c>
      <c r="C476" s="11" t="n">
        <v>1</v>
      </c>
      <c r="D476" s="11" t="n">
        <v>2</v>
      </c>
      <c r="E476" s="11" t="n">
        <v>38</v>
      </c>
      <c r="F476" s="11" t="n">
        <v>10</v>
      </c>
      <c r="G476" s="11" t="n">
        <v>2</v>
      </c>
      <c r="H476" s="13" t="n">
        <v>70</v>
      </c>
      <c r="I476" s="16" t="n">
        <v>0</v>
      </c>
      <c r="J476" s="13" t="n">
        <f aca="false">G476*H476</f>
        <v>140</v>
      </c>
      <c r="K476" s="13" t="n">
        <f aca="false">J476*(1-I476)</f>
        <v>140</v>
      </c>
    </row>
    <row r="477" customFormat="false" ht="15" hidden="false" customHeight="false" outlineLevel="0" collapsed="false">
      <c r="A477" s="11" t="n">
        <v>476</v>
      </c>
      <c r="B477" s="15" t="n">
        <v>45830</v>
      </c>
      <c r="C477" s="11" t="n">
        <v>2</v>
      </c>
      <c r="D477" s="11" t="n">
        <v>4</v>
      </c>
      <c r="E477" s="11" t="n">
        <v>7</v>
      </c>
      <c r="F477" s="11" t="n">
        <v>2</v>
      </c>
      <c r="G477" s="11" t="n">
        <v>1</v>
      </c>
      <c r="H477" s="13" t="n">
        <v>45</v>
      </c>
      <c r="I477" s="16" t="n">
        <v>0</v>
      </c>
      <c r="J477" s="13" t="n">
        <f aca="false">G477*H477</f>
        <v>45</v>
      </c>
      <c r="K477" s="13" t="n">
        <f aca="false">J477*(1-I477)</f>
        <v>45</v>
      </c>
    </row>
    <row r="478" customFormat="false" ht="15" hidden="false" customHeight="false" outlineLevel="0" collapsed="false">
      <c r="A478" s="11" t="n">
        <v>477</v>
      </c>
      <c r="B478" s="15" t="n">
        <v>45831</v>
      </c>
      <c r="C478" s="11" t="n">
        <v>4</v>
      </c>
      <c r="D478" s="11" t="n">
        <v>8</v>
      </c>
      <c r="E478" s="11" t="n">
        <v>27</v>
      </c>
      <c r="F478" s="11" t="n">
        <v>11</v>
      </c>
      <c r="G478" s="11" t="n">
        <v>2</v>
      </c>
      <c r="H478" s="13" t="n">
        <v>72</v>
      </c>
      <c r="I478" s="16" t="n">
        <v>0</v>
      </c>
      <c r="J478" s="13" t="n">
        <f aca="false">G478*H478</f>
        <v>144</v>
      </c>
      <c r="K478" s="13" t="n">
        <f aca="false">J478*(1-I478)</f>
        <v>144</v>
      </c>
    </row>
    <row r="479" customFormat="false" ht="15" hidden="false" customHeight="false" outlineLevel="0" collapsed="false">
      <c r="A479" s="11" t="n">
        <v>478</v>
      </c>
      <c r="B479" s="15" t="n">
        <v>45831</v>
      </c>
      <c r="C479" s="11" t="n">
        <v>2</v>
      </c>
      <c r="D479" s="11" t="n">
        <v>4</v>
      </c>
      <c r="E479" s="11" t="n">
        <v>29</v>
      </c>
      <c r="F479" s="11" t="n">
        <v>8</v>
      </c>
      <c r="G479" s="11" t="n">
        <v>4</v>
      </c>
      <c r="H479" s="13" t="n">
        <v>52</v>
      </c>
      <c r="I479" s="16" t="n">
        <v>0</v>
      </c>
      <c r="J479" s="13" t="n">
        <f aca="false">G479*H479</f>
        <v>208</v>
      </c>
      <c r="K479" s="13" t="n">
        <f aca="false">J479*(1-I479)</f>
        <v>208</v>
      </c>
    </row>
    <row r="480" customFormat="false" ht="15" hidden="false" customHeight="false" outlineLevel="0" collapsed="false">
      <c r="A480" s="11" t="n">
        <v>479</v>
      </c>
      <c r="B480" s="15" t="n">
        <v>45831</v>
      </c>
      <c r="C480" s="11" t="n">
        <v>2</v>
      </c>
      <c r="D480" s="11" t="n">
        <v>5</v>
      </c>
      <c r="E480" s="11" t="n">
        <v>38</v>
      </c>
      <c r="F480" s="11" t="n">
        <v>10</v>
      </c>
      <c r="G480" s="11" t="n">
        <v>2</v>
      </c>
      <c r="H480" s="13" t="n">
        <v>70</v>
      </c>
      <c r="I480" s="16" t="n">
        <v>0</v>
      </c>
      <c r="J480" s="13" t="n">
        <f aca="false">G480*H480</f>
        <v>140</v>
      </c>
      <c r="K480" s="13" t="n">
        <f aca="false">J480*(1-I480)</f>
        <v>140</v>
      </c>
    </row>
    <row r="481" customFormat="false" ht="15" hidden="false" customHeight="false" outlineLevel="0" collapsed="false">
      <c r="A481" s="11" t="n">
        <v>480</v>
      </c>
      <c r="B481" s="15" t="n">
        <v>45831</v>
      </c>
      <c r="C481" s="11" t="n">
        <v>1</v>
      </c>
      <c r="D481" s="11" t="n">
        <v>2</v>
      </c>
      <c r="E481" s="11" t="n">
        <v>12</v>
      </c>
      <c r="F481" s="11" t="n">
        <v>17</v>
      </c>
      <c r="G481" s="11" t="n">
        <v>4</v>
      </c>
      <c r="H481" s="13" t="n">
        <v>28</v>
      </c>
      <c r="I481" s="16" t="n">
        <v>0</v>
      </c>
      <c r="J481" s="13" t="n">
        <f aca="false">G481*H481</f>
        <v>112</v>
      </c>
      <c r="K481" s="13" t="n">
        <f aca="false">J481*(1-I481)</f>
        <v>112</v>
      </c>
    </row>
    <row r="482" customFormat="false" ht="15" hidden="false" customHeight="false" outlineLevel="0" collapsed="false">
      <c r="A482" s="11" t="n">
        <v>481</v>
      </c>
      <c r="B482" s="15" t="n">
        <v>45832</v>
      </c>
      <c r="C482" s="11" t="n">
        <v>1</v>
      </c>
      <c r="D482" s="11" t="n">
        <v>2</v>
      </c>
      <c r="E482" s="11" t="n">
        <v>21</v>
      </c>
      <c r="F482" s="11" t="n">
        <v>9</v>
      </c>
      <c r="G482" s="11" t="n">
        <v>1</v>
      </c>
      <c r="H482" s="13" t="n">
        <v>40</v>
      </c>
      <c r="I482" s="16" t="n">
        <v>0</v>
      </c>
      <c r="J482" s="13" t="n">
        <f aca="false">G482*H482</f>
        <v>40</v>
      </c>
      <c r="K482" s="13" t="n">
        <f aca="false">J482*(1-I482)</f>
        <v>40</v>
      </c>
    </row>
    <row r="483" customFormat="false" ht="15" hidden="false" customHeight="false" outlineLevel="0" collapsed="false">
      <c r="A483" s="11" t="n">
        <v>482</v>
      </c>
      <c r="B483" s="15" t="n">
        <v>45832</v>
      </c>
      <c r="C483" s="11" t="n">
        <v>1</v>
      </c>
      <c r="D483" s="11" t="n">
        <v>1</v>
      </c>
      <c r="E483" s="11" t="n">
        <v>23</v>
      </c>
      <c r="F483" s="11" t="n">
        <v>8</v>
      </c>
      <c r="G483" s="11" t="n">
        <v>2</v>
      </c>
      <c r="H483" s="13" t="n">
        <v>52</v>
      </c>
      <c r="I483" s="16" t="n">
        <v>0</v>
      </c>
      <c r="J483" s="13" t="n">
        <f aca="false">G483*H483</f>
        <v>104</v>
      </c>
      <c r="K483" s="13" t="n">
        <f aca="false">J483*(1-I483)</f>
        <v>104</v>
      </c>
    </row>
    <row r="484" customFormat="false" ht="15" hidden="false" customHeight="false" outlineLevel="0" collapsed="false">
      <c r="A484" s="11" t="n">
        <v>483</v>
      </c>
      <c r="B484" s="15" t="n">
        <v>45832</v>
      </c>
      <c r="C484" s="11" t="n">
        <v>1</v>
      </c>
      <c r="D484" s="11" t="n">
        <v>2</v>
      </c>
      <c r="E484" s="11" t="n">
        <v>43</v>
      </c>
      <c r="F484" s="11" t="n">
        <v>13</v>
      </c>
      <c r="G484" s="11" t="n">
        <v>1</v>
      </c>
      <c r="H484" s="13" t="n">
        <v>32</v>
      </c>
      <c r="I484" s="16" t="n">
        <v>0.05</v>
      </c>
      <c r="J484" s="13" t="n">
        <f aca="false">G484*H484</f>
        <v>32</v>
      </c>
      <c r="K484" s="13" t="n">
        <f aca="false">J484*(1-I484)</f>
        <v>30.4</v>
      </c>
    </row>
    <row r="485" customFormat="false" ht="15" hidden="false" customHeight="false" outlineLevel="0" collapsed="false">
      <c r="A485" s="11" t="n">
        <v>484</v>
      </c>
      <c r="B485" s="15" t="n">
        <v>45832</v>
      </c>
      <c r="C485" s="11" t="n">
        <v>1</v>
      </c>
      <c r="D485" s="11" t="n">
        <v>1</v>
      </c>
      <c r="E485" s="11" t="n">
        <v>32</v>
      </c>
      <c r="F485" s="11" t="n">
        <v>15</v>
      </c>
      <c r="G485" s="11" t="n">
        <v>2</v>
      </c>
      <c r="H485" s="13" t="n">
        <v>65</v>
      </c>
      <c r="I485" s="16" t="n">
        <v>0</v>
      </c>
      <c r="J485" s="13" t="n">
        <f aca="false">G485*H485</f>
        <v>130</v>
      </c>
      <c r="K485" s="13" t="n">
        <f aca="false">J485*(1-I485)</f>
        <v>130</v>
      </c>
    </row>
    <row r="486" customFormat="false" ht="15" hidden="false" customHeight="false" outlineLevel="0" collapsed="false">
      <c r="A486" s="11" t="n">
        <v>485</v>
      </c>
      <c r="B486" s="15" t="n">
        <v>45833</v>
      </c>
      <c r="C486" s="11" t="n">
        <v>1</v>
      </c>
      <c r="D486" s="11" t="n">
        <v>3</v>
      </c>
      <c r="E486" s="11" t="n">
        <v>22</v>
      </c>
      <c r="F486" s="11" t="n">
        <v>9</v>
      </c>
      <c r="G486" s="11" t="n">
        <v>1</v>
      </c>
      <c r="H486" s="13" t="n">
        <v>40</v>
      </c>
      <c r="I486" s="16" t="n">
        <v>0</v>
      </c>
      <c r="J486" s="13" t="n">
        <f aca="false">G486*H486</f>
        <v>40</v>
      </c>
      <c r="K486" s="13" t="n">
        <f aca="false">J486*(1-I486)</f>
        <v>40</v>
      </c>
    </row>
    <row r="487" customFormat="false" ht="15" hidden="false" customHeight="false" outlineLevel="0" collapsed="false">
      <c r="A487" s="11" t="n">
        <v>486</v>
      </c>
      <c r="B487" s="15" t="n">
        <v>45833</v>
      </c>
      <c r="C487" s="11" t="n">
        <v>1</v>
      </c>
      <c r="D487" s="11" t="n">
        <v>1</v>
      </c>
      <c r="E487" s="11" t="n">
        <v>34</v>
      </c>
      <c r="F487" s="11" t="n">
        <v>12</v>
      </c>
      <c r="G487" s="11" t="n">
        <v>1</v>
      </c>
      <c r="H487" s="13" t="n">
        <v>45</v>
      </c>
      <c r="I487" s="16" t="n">
        <v>0</v>
      </c>
      <c r="J487" s="13" t="n">
        <f aca="false">G487*H487</f>
        <v>45</v>
      </c>
      <c r="K487" s="13" t="n">
        <f aca="false">J487*(1-I487)</f>
        <v>45</v>
      </c>
    </row>
    <row r="488" customFormat="false" ht="15" hidden="false" customHeight="false" outlineLevel="0" collapsed="false">
      <c r="A488" s="11" t="n">
        <v>487</v>
      </c>
      <c r="B488" s="15" t="n">
        <v>45833</v>
      </c>
      <c r="C488" s="11" t="n">
        <v>4</v>
      </c>
      <c r="D488" s="11" t="n">
        <v>9</v>
      </c>
      <c r="E488" s="11" t="n">
        <v>40</v>
      </c>
      <c r="F488" s="11" t="n">
        <v>16</v>
      </c>
      <c r="G488" s="11" t="n">
        <v>1</v>
      </c>
      <c r="H488" s="13" t="n">
        <v>45</v>
      </c>
      <c r="I488" s="16" t="n">
        <v>0</v>
      </c>
      <c r="J488" s="13" t="n">
        <f aca="false">G488*H488</f>
        <v>45</v>
      </c>
      <c r="K488" s="13" t="n">
        <f aca="false">J488*(1-I488)</f>
        <v>45</v>
      </c>
    </row>
    <row r="489" customFormat="false" ht="15" hidden="false" customHeight="false" outlineLevel="0" collapsed="false">
      <c r="A489" s="11" t="n">
        <v>488</v>
      </c>
      <c r="B489" s="15" t="n">
        <v>45833</v>
      </c>
      <c r="C489" s="11" t="n">
        <v>3</v>
      </c>
      <c r="D489" s="11" t="n">
        <v>6</v>
      </c>
      <c r="E489" s="11" t="n">
        <v>46</v>
      </c>
      <c r="F489" s="11" t="n">
        <v>3</v>
      </c>
      <c r="G489" s="11" t="n">
        <v>1</v>
      </c>
      <c r="H489" s="13" t="n">
        <v>38</v>
      </c>
      <c r="I489" s="16" t="n">
        <v>0</v>
      </c>
      <c r="J489" s="13" t="n">
        <f aca="false">G489*H489</f>
        <v>38</v>
      </c>
      <c r="K489" s="13" t="n">
        <f aca="false">J489*(1-I489)</f>
        <v>38</v>
      </c>
    </row>
    <row r="490" customFormat="false" ht="15" hidden="false" customHeight="false" outlineLevel="0" collapsed="false">
      <c r="A490" s="11" t="n">
        <v>489</v>
      </c>
      <c r="B490" s="15" t="n">
        <v>45833</v>
      </c>
      <c r="C490" s="11" t="n">
        <v>4</v>
      </c>
      <c r="D490" s="11" t="n">
        <v>8</v>
      </c>
      <c r="E490" s="11" t="n">
        <v>12</v>
      </c>
      <c r="F490" s="11" t="n">
        <v>7</v>
      </c>
      <c r="G490" s="11" t="n">
        <v>3</v>
      </c>
      <c r="H490" s="13" t="n">
        <v>50</v>
      </c>
      <c r="I490" s="16" t="n">
        <v>0</v>
      </c>
      <c r="J490" s="13" t="n">
        <f aca="false">G490*H490</f>
        <v>150</v>
      </c>
      <c r="K490" s="13" t="n">
        <f aca="false">J490*(1-I490)</f>
        <v>150</v>
      </c>
    </row>
    <row r="491" customFormat="false" ht="15" hidden="false" customHeight="false" outlineLevel="0" collapsed="false">
      <c r="A491" s="11" t="n">
        <v>490</v>
      </c>
      <c r="B491" s="15" t="n">
        <v>45833</v>
      </c>
      <c r="C491" s="11" t="n">
        <v>5</v>
      </c>
      <c r="D491" s="11" t="n">
        <v>10</v>
      </c>
      <c r="E491" s="11" t="n">
        <v>17</v>
      </c>
      <c r="F491" s="11" t="n">
        <v>20</v>
      </c>
      <c r="G491" s="11" t="n">
        <v>1</v>
      </c>
      <c r="H491" s="13" t="n">
        <v>88</v>
      </c>
      <c r="I491" s="16" t="n">
        <v>0</v>
      </c>
      <c r="J491" s="13" t="n">
        <f aca="false">G491*H491</f>
        <v>88</v>
      </c>
      <c r="K491" s="13" t="n">
        <f aca="false">J491*(1-I491)</f>
        <v>88</v>
      </c>
    </row>
    <row r="492" customFormat="false" ht="15" hidden="false" customHeight="false" outlineLevel="0" collapsed="false">
      <c r="A492" s="11" t="n">
        <v>491</v>
      </c>
      <c r="B492" s="15" t="n">
        <v>45833</v>
      </c>
      <c r="C492" s="11" t="n">
        <v>4</v>
      </c>
      <c r="D492" s="11" t="n">
        <v>8</v>
      </c>
      <c r="E492" s="11" t="n">
        <v>2</v>
      </c>
      <c r="F492" s="11" t="n">
        <v>16</v>
      </c>
      <c r="G492" s="11" t="n">
        <v>2</v>
      </c>
      <c r="H492" s="13" t="n">
        <v>45</v>
      </c>
      <c r="I492" s="16" t="n">
        <v>0</v>
      </c>
      <c r="J492" s="13" t="n">
        <f aca="false">G492*H492</f>
        <v>90</v>
      </c>
      <c r="K492" s="13" t="n">
        <f aca="false">J492*(1-I492)</f>
        <v>90</v>
      </c>
    </row>
    <row r="493" customFormat="false" ht="15" hidden="false" customHeight="false" outlineLevel="0" collapsed="false">
      <c r="A493" s="11" t="n">
        <v>492</v>
      </c>
      <c r="B493" s="15" t="n">
        <v>45833</v>
      </c>
      <c r="C493" s="11" t="n">
        <v>1</v>
      </c>
      <c r="D493" s="11" t="n">
        <v>3</v>
      </c>
      <c r="E493" s="11" t="n">
        <v>15</v>
      </c>
      <c r="F493" s="11" t="n">
        <v>2</v>
      </c>
      <c r="G493" s="11" t="n">
        <v>1</v>
      </c>
      <c r="H493" s="13" t="n">
        <v>45</v>
      </c>
      <c r="I493" s="16" t="n">
        <v>0</v>
      </c>
      <c r="J493" s="13" t="n">
        <f aca="false">G493*H493</f>
        <v>45</v>
      </c>
      <c r="K493" s="13" t="n">
        <f aca="false">J493*(1-I493)</f>
        <v>45</v>
      </c>
    </row>
    <row r="494" customFormat="false" ht="15" hidden="false" customHeight="false" outlineLevel="0" collapsed="false">
      <c r="A494" s="11" t="n">
        <v>493</v>
      </c>
      <c r="B494" s="15" t="n">
        <v>45834</v>
      </c>
      <c r="C494" s="11" t="n">
        <v>4</v>
      </c>
      <c r="D494" s="11" t="n">
        <v>9</v>
      </c>
      <c r="E494" s="11" t="n">
        <v>41</v>
      </c>
      <c r="F494" s="11" t="n">
        <v>5</v>
      </c>
      <c r="G494" s="11" t="n">
        <v>1</v>
      </c>
      <c r="H494" s="13" t="n">
        <v>58</v>
      </c>
      <c r="I494" s="16" t="n">
        <v>0.05</v>
      </c>
      <c r="J494" s="13" t="n">
        <f aca="false">G494*H494</f>
        <v>58</v>
      </c>
      <c r="K494" s="13" t="n">
        <f aca="false">J494*(1-I494)</f>
        <v>55.1</v>
      </c>
    </row>
    <row r="495" customFormat="false" ht="15" hidden="false" customHeight="false" outlineLevel="0" collapsed="false">
      <c r="A495" s="11" t="n">
        <v>494</v>
      </c>
      <c r="B495" s="15" t="n">
        <v>45836</v>
      </c>
      <c r="C495" s="11" t="n">
        <v>3</v>
      </c>
      <c r="D495" s="11" t="n">
        <v>6</v>
      </c>
      <c r="E495" s="11" t="n">
        <v>17</v>
      </c>
      <c r="F495" s="11" t="n">
        <v>13</v>
      </c>
      <c r="G495" s="11" t="n">
        <v>1</v>
      </c>
      <c r="H495" s="13" t="n">
        <v>32</v>
      </c>
      <c r="I495" s="16" t="n">
        <v>0</v>
      </c>
      <c r="J495" s="13" t="n">
        <f aca="false">G495*H495</f>
        <v>32</v>
      </c>
      <c r="K495" s="13" t="n">
        <f aca="false">J495*(1-I495)</f>
        <v>32</v>
      </c>
    </row>
    <row r="496" customFormat="false" ht="15" hidden="false" customHeight="false" outlineLevel="0" collapsed="false">
      <c r="A496" s="11" t="n">
        <v>495</v>
      </c>
      <c r="B496" s="15" t="n">
        <v>45836</v>
      </c>
      <c r="C496" s="11" t="n">
        <v>4</v>
      </c>
      <c r="D496" s="11" t="n">
        <v>8</v>
      </c>
      <c r="E496" s="11" t="n">
        <v>21</v>
      </c>
      <c r="F496" s="11" t="n">
        <v>16</v>
      </c>
      <c r="G496" s="11" t="n">
        <v>2</v>
      </c>
      <c r="H496" s="13" t="n">
        <v>45</v>
      </c>
      <c r="I496" s="16" t="n">
        <v>0.05</v>
      </c>
      <c r="J496" s="13" t="n">
        <f aca="false">G496*H496</f>
        <v>90</v>
      </c>
      <c r="K496" s="13" t="n">
        <f aca="false">J496*(1-I496)</f>
        <v>85.5</v>
      </c>
    </row>
    <row r="497" customFormat="false" ht="15" hidden="false" customHeight="false" outlineLevel="0" collapsed="false">
      <c r="A497" s="11" t="n">
        <v>496</v>
      </c>
      <c r="B497" s="15" t="n">
        <v>45836</v>
      </c>
      <c r="C497" s="11" t="n">
        <v>2</v>
      </c>
      <c r="D497" s="11" t="n">
        <v>4</v>
      </c>
      <c r="E497" s="11" t="n">
        <v>53</v>
      </c>
      <c r="F497" s="11" t="n">
        <v>10</v>
      </c>
      <c r="G497" s="11" t="n">
        <v>3</v>
      </c>
      <c r="H497" s="13" t="n">
        <v>70</v>
      </c>
      <c r="I497" s="16" t="n">
        <v>0</v>
      </c>
      <c r="J497" s="13" t="n">
        <f aca="false">G497*H497</f>
        <v>210</v>
      </c>
      <c r="K497" s="13" t="n">
        <f aca="false">J497*(1-I497)</f>
        <v>210</v>
      </c>
    </row>
    <row r="498" customFormat="false" ht="15" hidden="false" customHeight="false" outlineLevel="0" collapsed="false">
      <c r="A498" s="11" t="n">
        <v>497</v>
      </c>
      <c r="B498" s="15" t="n">
        <v>45836</v>
      </c>
      <c r="C498" s="11" t="n">
        <v>1</v>
      </c>
      <c r="D498" s="11" t="n">
        <v>3</v>
      </c>
      <c r="E498" s="11" t="n">
        <v>17</v>
      </c>
      <c r="F498" s="11" t="n">
        <v>8</v>
      </c>
      <c r="G498" s="11" t="n">
        <v>1</v>
      </c>
      <c r="H498" s="13" t="n">
        <v>52</v>
      </c>
      <c r="I498" s="16" t="n">
        <v>0.1</v>
      </c>
      <c r="J498" s="13" t="n">
        <f aca="false">G498*H498</f>
        <v>52</v>
      </c>
      <c r="K498" s="13" t="n">
        <f aca="false">J498*(1-I498)</f>
        <v>46.8</v>
      </c>
    </row>
    <row r="499" customFormat="false" ht="15" hidden="false" customHeight="false" outlineLevel="0" collapsed="false">
      <c r="A499" s="11" t="n">
        <v>498</v>
      </c>
      <c r="B499" s="15" t="n">
        <v>45836</v>
      </c>
      <c r="C499" s="11" t="n">
        <v>1</v>
      </c>
      <c r="D499" s="11" t="n">
        <v>2</v>
      </c>
      <c r="E499" s="11" t="n">
        <v>44</v>
      </c>
      <c r="F499" s="11" t="n">
        <v>12</v>
      </c>
      <c r="G499" s="11" t="n">
        <v>1</v>
      </c>
      <c r="H499" s="13" t="n">
        <v>45</v>
      </c>
      <c r="I499" s="16" t="n">
        <v>0.15</v>
      </c>
      <c r="J499" s="13" t="n">
        <f aca="false">G499*H499</f>
        <v>45</v>
      </c>
      <c r="K499" s="13" t="n">
        <f aca="false">J499*(1-I499)</f>
        <v>38.25</v>
      </c>
    </row>
    <row r="500" customFormat="false" ht="15" hidden="false" customHeight="false" outlineLevel="0" collapsed="false">
      <c r="A500" s="11" t="n">
        <v>499</v>
      </c>
      <c r="B500" s="15" t="n">
        <v>45837</v>
      </c>
      <c r="C500" s="11" t="n">
        <v>2</v>
      </c>
      <c r="D500" s="11" t="n">
        <v>5</v>
      </c>
      <c r="E500" s="11" t="n">
        <v>48</v>
      </c>
      <c r="F500" s="11" t="n">
        <v>19</v>
      </c>
      <c r="G500" s="11" t="n">
        <v>1</v>
      </c>
      <c r="H500" s="13" t="n">
        <v>125</v>
      </c>
      <c r="I500" s="16" t="n">
        <v>0</v>
      </c>
      <c r="J500" s="13" t="n">
        <f aca="false">G500*H500</f>
        <v>125</v>
      </c>
      <c r="K500" s="13" t="n">
        <f aca="false">J500*(1-I500)</f>
        <v>125</v>
      </c>
    </row>
    <row r="501" customFormat="false" ht="15" hidden="false" customHeight="false" outlineLevel="0" collapsed="false">
      <c r="A501" s="11" t="n">
        <v>500</v>
      </c>
      <c r="B501" s="15" t="n">
        <v>45838</v>
      </c>
      <c r="C501" s="11" t="n">
        <v>4</v>
      </c>
      <c r="D501" s="11" t="n">
        <v>8</v>
      </c>
      <c r="E501" s="11" t="n">
        <v>34</v>
      </c>
      <c r="F501" s="11" t="n">
        <v>5</v>
      </c>
      <c r="G501" s="11" t="n">
        <v>1</v>
      </c>
      <c r="H501" s="13" t="n">
        <v>58</v>
      </c>
      <c r="I501" s="16" t="n">
        <v>0</v>
      </c>
      <c r="J501" s="13" t="n">
        <f aca="false">G501*H501</f>
        <v>58</v>
      </c>
      <c r="K501" s="13" t="n">
        <f aca="false">J501*(1-I501)</f>
        <v>58</v>
      </c>
    </row>
    <row r="502" customFormat="false" ht="15" hidden="false" customHeight="false" outlineLevel="0" collapsed="false">
      <c r="A502" s="11" t="n">
        <v>501</v>
      </c>
      <c r="B502" s="15" t="n">
        <v>45838</v>
      </c>
      <c r="C502" s="11" t="n">
        <v>1</v>
      </c>
      <c r="D502" s="11" t="n">
        <v>2</v>
      </c>
      <c r="E502" s="11" t="n">
        <v>29</v>
      </c>
      <c r="F502" s="11" t="n">
        <v>5</v>
      </c>
      <c r="G502" s="11" t="n">
        <v>1</v>
      </c>
      <c r="H502" s="13" t="n">
        <v>58</v>
      </c>
      <c r="I502" s="16" t="n">
        <v>0</v>
      </c>
      <c r="J502" s="13" t="n">
        <f aca="false">G502*H502</f>
        <v>58</v>
      </c>
      <c r="K502" s="13" t="n">
        <f aca="false">J502*(1-I502)</f>
        <v>58</v>
      </c>
    </row>
    <row r="503" customFormat="false" ht="15" hidden="false" customHeight="false" outlineLevel="0" collapsed="false">
      <c r="A503" s="11" t="n">
        <v>502</v>
      </c>
      <c r="B503" s="15" t="n">
        <v>45838</v>
      </c>
      <c r="C503" s="11" t="n">
        <v>4</v>
      </c>
      <c r="D503" s="11" t="n">
        <v>8</v>
      </c>
      <c r="E503" s="11" t="n">
        <v>12</v>
      </c>
      <c r="F503" s="11" t="n">
        <v>8</v>
      </c>
      <c r="G503" s="11" t="n">
        <v>2</v>
      </c>
      <c r="H503" s="13" t="n">
        <v>52</v>
      </c>
      <c r="I503" s="16" t="n">
        <v>0.05</v>
      </c>
      <c r="J503" s="13" t="n">
        <f aca="false">G503*H503</f>
        <v>104</v>
      </c>
      <c r="K503" s="13" t="n">
        <f aca="false">J503*(1-I503)</f>
        <v>98.8</v>
      </c>
    </row>
    <row r="504" customFormat="false" ht="15" hidden="false" customHeight="false" outlineLevel="0" collapsed="false">
      <c r="A504" s="11" t="n">
        <v>503</v>
      </c>
      <c r="B504" s="15" t="n">
        <v>45838</v>
      </c>
      <c r="C504" s="11" t="n">
        <v>1</v>
      </c>
      <c r="D504" s="11" t="n">
        <v>1</v>
      </c>
      <c r="E504" s="11" t="n">
        <v>36</v>
      </c>
      <c r="F504" s="11" t="n">
        <v>15</v>
      </c>
      <c r="G504" s="11" t="n">
        <v>2</v>
      </c>
      <c r="H504" s="13" t="n">
        <v>65</v>
      </c>
      <c r="I504" s="16" t="n">
        <v>0</v>
      </c>
      <c r="J504" s="13" t="n">
        <f aca="false">G504*H504</f>
        <v>130</v>
      </c>
      <c r="K504" s="13" t="n">
        <f aca="false">J504*(1-I504)</f>
        <v>130</v>
      </c>
    </row>
    <row r="505" customFormat="false" ht="15" hidden="false" customHeight="false" outlineLevel="0" collapsed="false">
      <c r="A505" s="11" t="n">
        <v>504</v>
      </c>
      <c r="B505" s="15" t="n">
        <v>45839</v>
      </c>
      <c r="C505" s="11" t="n">
        <v>2</v>
      </c>
      <c r="D505" s="11" t="n">
        <v>4</v>
      </c>
      <c r="E505" s="11" t="n">
        <v>14</v>
      </c>
      <c r="F505" s="11" t="n">
        <v>11</v>
      </c>
      <c r="G505" s="11" t="n">
        <v>4</v>
      </c>
      <c r="H505" s="13" t="n">
        <v>72</v>
      </c>
      <c r="I505" s="16" t="n">
        <v>0</v>
      </c>
      <c r="J505" s="13" t="n">
        <f aca="false">G505*H505</f>
        <v>288</v>
      </c>
      <c r="K505" s="13" t="n">
        <f aca="false">J505*(1-I505)</f>
        <v>288</v>
      </c>
    </row>
    <row r="506" customFormat="false" ht="15" hidden="false" customHeight="false" outlineLevel="0" collapsed="false">
      <c r="A506" s="11" t="n">
        <v>505</v>
      </c>
      <c r="B506" s="15" t="n">
        <v>45839</v>
      </c>
      <c r="C506" s="11" t="n">
        <v>1</v>
      </c>
      <c r="D506" s="11" t="n">
        <v>2</v>
      </c>
      <c r="E506" s="11" t="n">
        <v>9</v>
      </c>
      <c r="F506" s="11" t="n">
        <v>17</v>
      </c>
      <c r="G506" s="11" t="n">
        <v>1</v>
      </c>
      <c r="H506" s="13" t="n">
        <v>28</v>
      </c>
      <c r="I506" s="16" t="n">
        <v>0</v>
      </c>
      <c r="J506" s="13" t="n">
        <f aca="false">G506*H506</f>
        <v>28</v>
      </c>
      <c r="K506" s="13" t="n">
        <f aca="false">J506*(1-I506)</f>
        <v>28</v>
      </c>
    </row>
    <row r="507" customFormat="false" ht="15" hidden="false" customHeight="false" outlineLevel="0" collapsed="false">
      <c r="A507" s="11" t="n">
        <v>506</v>
      </c>
      <c r="B507" s="15" t="n">
        <v>45839</v>
      </c>
      <c r="C507" s="11" t="n">
        <v>1</v>
      </c>
      <c r="D507" s="11" t="n">
        <v>1</v>
      </c>
      <c r="E507" s="11" t="n">
        <v>23</v>
      </c>
      <c r="F507" s="11" t="n">
        <v>16</v>
      </c>
      <c r="G507" s="11" t="n">
        <v>1</v>
      </c>
      <c r="H507" s="13" t="n">
        <v>45</v>
      </c>
      <c r="I507" s="16" t="n">
        <v>0</v>
      </c>
      <c r="J507" s="13" t="n">
        <f aca="false">G507*H507</f>
        <v>45</v>
      </c>
      <c r="K507" s="13" t="n">
        <f aca="false">J507*(1-I507)</f>
        <v>45</v>
      </c>
    </row>
    <row r="508" customFormat="false" ht="15" hidden="false" customHeight="false" outlineLevel="0" collapsed="false">
      <c r="A508" s="11" t="n">
        <v>507</v>
      </c>
      <c r="B508" s="15" t="n">
        <v>45839</v>
      </c>
      <c r="C508" s="11" t="n">
        <v>5</v>
      </c>
      <c r="D508" s="11" t="n">
        <v>10</v>
      </c>
      <c r="E508" s="11" t="n">
        <v>60</v>
      </c>
      <c r="F508" s="11" t="n">
        <v>9</v>
      </c>
      <c r="G508" s="11" t="n">
        <v>1</v>
      </c>
      <c r="H508" s="13" t="n">
        <v>40</v>
      </c>
      <c r="I508" s="16" t="n">
        <v>0.1</v>
      </c>
      <c r="J508" s="13" t="n">
        <f aca="false">G508*H508</f>
        <v>40</v>
      </c>
      <c r="K508" s="13" t="n">
        <f aca="false">J508*(1-I508)</f>
        <v>36</v>
      </c>
    </row>
    <row r="509" customFormat="false" ht="15" hidden="false" customHeight="false" outlineLevel="0" collapsed="false">
      <c r="A509" s="11" t="n">
        <v>508</v>
      </c>
      <c r="B509" s="15" t="n">
        <v>45839</v>
      </c>
      <c r="C509" s="11" t="n">
        <v>3</v>
      </c>
      <c r="D509" s="11" t="n">
        <v>7</v>
      </c>
      <c r="E509" s="11" t="n">
        <v>45</v>
      </c>
      <c r="F509" s="11" t="n">
        <v>13</v>
      </c>
      <c r="G509" s="11" t="n">
        <v>2</v>
      </c>
      <c r="H509" s="13" t="n">
        <v>32</v>
      </c>
      <c r="I509" s="16" t="n">
        <v>0</v>
      </c>
      <c r="J509" s="13" t="n">
        <f aca="false">G509*H509</f>
        <v>64</v>
      </c>
      <c r="K509" s="13" t="n">
        <f aca="false">J509*(1-I509)</f>
        <v>64</v>
      </c>
    </row>
    <row r="510" customFormat="false" ht="15" hidden="false" customHeight="false" outlineLevel="0" collapsed="false">
      <c r="A510" s="11" t="n">
        <v>509</v>
      </c>
      <c r="B510" s="15" t="n">
        <v>45839</v>
      </c>
      <c r="C510" s="11" t="n">
        <v>2</v>
      </c>
      <c r="D510" s="11" t="n">
        <v>5</v>
      </c>
      <c r="E510" s="11" t="n">
        <v>6</v>
      </c>
      <c r="F510" s="11" t="n">
        <v>19</v>
      </c>
      <c r="G510" s="11" t="n">
        <v>3</v>
      </c>
      <c r="H510" s="13" t="n">
        <v>125</v>
      </c>
      <c r="I510" s="16" t="n">
        <v>0.15</v>
      </c>
      <c r="J510" s="13" t="n">
        <f aca="false">G510*H510</f>
        <v>375</v>
      </c>
      <c r="K510" s="13" t="n">
        <f aca="false">J510*(1-I510)</f>
        <v>318.75</v>
      </c>
    </row>
    <row r="511" customFormat="false" ht="15" hidden="false" customHeight="false" outlineLevel="0" collapsed="false">
      <c r="A511" s="11" t="n">
        <v>510</v>
      </c>
      <c r="B511" s="15" t="n">
        <v>45840</v>
      </c>
      <c r="C511" s="11" t="n">
        <v>1</v>
      </c>
      <c r="D511" s="11" t="n">
        <v>3</v>
      </c>
      <c r="E511" s="11" t="n">
        <v>9</v>
      </c>
      <c r="F511" s="11" t="n">
        <v>10</v>
      </c>
      <c r="G511" s="11" t="n">
        <v>1</v>
      </c>
      <c r="H511" s="13" t="n">
        <v>70</v>
      </c>
      <c r="I511" s="16" t="n">
        <v>0</v>
      </c>
      <c r="J511" s="13" t="n">
        <f aca="false">G511*H511</f>
        <v>70</v>
      </c>
      <c r="K511" s="13" t="n">
        <f aca="false">J511*(1-I511)</f>
        <v>70</v>
      </c>
    </row>
    <row r="512" customFormat="false" ht="15" hidden="false" customHeight="false" outlineLevel="0" collapsed="false">
      <c r="A512" s="11" t="n">
        <v>511</v>
      </c>
      <c r="B512" s="15" t="n">
        <v>45840</v>
      </c>
      <c r="C512" s="11" t="n">
        <v>4</v>
      </c>
      <c r="D512" s="11" t="n">
        <v>8</v>
      </c>
      <c r="E512" s="11" t="n">
        <v>32</v>
      </c>
      <c r="F512" s="11" t="n">
        <v>5</v>
      </c>
      <c r="G512" s="11" t="n">
        <v>1</v>
      </c>
      <c r="H512" s="13" t="n">
        <v>58</v>
      </c>
      <c r="I512" s="16" t="n">
        <v>0</v>
      </c>
      <c r="J512" s="13" t="n">
        <f aca="false">G512*H512</f>
        <v>58</v>
      </c>
      <c r="K512" s="13" t="n">
        <f aca="false">J512*(1-I512)</f>
        <v>58</v>
      </c>
    </row>
    <row r="513" customFormat="false" ht="15" hidden="false" customHeight="false" outlineLevel="0" collapsed="false">
      <c r="A513" s="11" t="n">
        <v>512</v>
      </c>
      <c r="B513" s="15" t="n">
        <v>45840</v>
      </c>
      <c r="C513" s="11" t="n">
        <v>1</v>
      </c>
      <c r="D513" s="11" t="n">
        <v>3</v>
      </c>
      <c r="E513" s="11" t="n">
        <v>8</v>
      </c>
      <c r="F513" s="11" t="n">
        <v>10</v>
      </c>
      <c r="G513" s="11" t="n">
        <v>1</v>
      </c>
      <c r="H513" s="13" t="n">
        <v>70</v>
      </c>
      <c r="I513" s="16" t="n">
        <v>0</v>
      </c>
      <c r="J513" s="13" t="n">
        <f aca="false">G513*H513</f>
        <v>70</v>
      </c>
      <c r="K513" s="13" t="n">
        <f aca="false">J513*(1-I513)</f>
        <v>70</v>
      </c>
    </row>
    <row r="514" customFormat="false" ht="15" hidden="false" customHeight="false" outlineLevel="0" collapsed="false">
      <c r="A514" s="11" t="n">
        <v>513</v>
      </c>
      <c r="B514" s="15" t="n">
        <v>45841</v>
      </c>
      <c r="C514" s="11" t="n">
        <v>2</v>
      </c>
      <c r="D514" s="11" t="n">
        <v>5</v>
      </c>
      <c r="E514" s="11" t="n">
        <v>51</v>
      </c>
      <c r="F514" s="11" t="n">
        <v>14</v>
      </c>
      <c r="G514" s="11" t="n">
        <v>2</v>
      </c>
      <c r="H514" s="13" t="n">
        <v>38</v>
      </c>
      <c r="I514" s="16" t="n">
        <v>0</v>
      </c>
      <c r="J514" s="13" t="n">
        <f aca="false">G514*H514</f>
        <v>76</v>
      </c>
      <c r="K514" s="13" t="n">
        <f aca="false">J514*(1-I514)</f>
        <v>76</v>
      </c>
    </row>
    <row r="515" customFormat="false" ht="15" hidden="false" customHeight="false" outlineLevel="0" collapsed="false">
      <c r="A515" s="11" t="n">
        <v>514</v>
      </c>
      <c r="B515" s="15" t="n">
        <v>45841</v>
      </c>
      <c r="C515" s="11" t="n">
        <v>1</v>
      </c>
      <c r="D515" s="11" t="n">
        <v>3</v>
      </c>
      <c r="E515" s="11" t="n">
        <v>16</v>
      </c>
      <c r="F515" s="11" t="n">
        <v>15</v>
      </c>
      <c r="G515" s="11" t="n">
        <v>1</v>
      </c>
      <c r="H515" s="13" t="n">
        <v>65</v>
      </c>
      <c r="I515" s="16" t="n">
        <v>0.05</v>
      </c>
      <c r="J515" s="13" t="n">
        <f aca="false">G515*H515</f>
        <v>65</v>
      </c>
      <c r="K515" s="13" t="n">
        <f aca="false">J515*(1-I515)</f>
        <v>61.75</v>
      </c>
    </row>
    <row r="516" customFormat="false" ht="15" hidden="false" customHeight="false" outlineLevel="0" collapsed="false">
      <c r="A516" s="11" t="n">
        <v>515</v>
      </c>
      <c r="B516" s="15" t="n">
        <v>45842</v>
      </c>
      <c r="C516" s="11" t="n">
        <v>2</v>
      </c>
      <c r="D516" s="11" t="n">
        <v>4</v>
      </c>
      <c r="E516" s="11" t="n">
        <v>8</v>
      </c>
      <c r="F516" s="11" t="n">
        <v>5</v>
      </c>
      <c r="G516" s="11" t="n">
        <v>1</v>
      </c>
      <c r="H516" s="13" t="n">
        <v>58</v>
      </c>
      <c r="I516" s="16" t="n">
        <v>0</v>
      </c>
      <c r="J516" s="13" t="n">
        <f aca="false">G516*H516</f>
        <v>58</v>
      </c>
      <c r="K516" s="13" t="n">
        <f aca="false">J516*(1-I516)</f>
        <v>58</v>
      </c>
    </row>
    <row r="517" customFormat="false" ht="15" hidden="false" customHeight="false" outlineLevel="0" collapsed="false">
      <c r="A517" s="11" t="n">
        <v>516</v>
      </c>
      <c r="B517" s="15" t="n">
        <v>45842</v>
      </c>
      <c r="C517" s="11" t="n">
        <v>3</v>
      </c>
      <c r="D517" s="11" t="n">
        <v>7</v>
      </c>
      <c r="E517" s="11" t="n">
        <v>43</v>
      </c>
      <c r="F517" s="11" t="n">
        <v>18</v>
      </c>
      <c r="G517" s="11" t="n">
        <v>2</v>
      </c>
      <c r="H517" s="13" t="n">
        <v>95</v>
      </c>
      <c r="I517" s="16" t="n">
        <v>0</v>
      </c>
      <c r="J517" s="13" t="n">
        <f aca="false">G517*H517</f>
        <v>190</v>
      </c>
      <c r="K517" s="13" t="n">
        <f aca="false">J517*(1-I517)</f>
        <v>190</v>
      </c>
    </row>
    <row r="518" customFormat="false" ht="15" hidden="false" customHeight="false" outlineLevel="0" collapsed="false">
      <c r="A518" s="11" t="n">
        <v>517</v>
      </c>
      <c r="B518" s="15" t="n">
        <v>45842</v>
      </c>
      <c r="C518" s="11" t="n">
        <v>1</v>
      </c>
      <c r="D518" s="11" t="n">
        <v>3</v>
      </c>
      <c r="E518" s="11" t="n">
        <v>8</v>
      </c>
      <c r="F518" s="11" t="n">
        <v>15</v>
      </c>
      <c r="G518" s="11" t="n">
        <v>1</v>
      </c>
      <c r="H518" s="13" t="n">
        <v>65</v>
      </c>
      <c r="I518" s="16" t="n">
        <v>0</v>
      </c>
      <c r="J518" s="13" t="n">
        <f aca="false">G518*H518</f>
        <v>65</v>
      </c>
      <c r="K518" s="13" t="n">
        <f aca="false">J518*(1-I518)</f>
        <v>65</v>
      </c>
    </row>
    <row r="519" customFormat="false" ht="15" hidden="false" customHeight="false" outlineLevel="0" collapsed="false">
      <c r="A519" s="11" t="n">
        <v>518</v>
      </c>
      <c r="B519" s="15" t="n">
        <v>45843</v>
      </c>
      <c r="C519" s="11" t="n">
        <v>4</v>
      </c>
      <c r="D519" s="11" t="n">
        <v>8</v>
      </c>
      <c r="E519" s="11" t="n">
        <v>55</v>
      </c>
      <c r="F519" s="11" t="n">
        <v>4</v>
      </c>
      <c r="G519" s="11" t="n">
        <v>1</v>
      </c>
      <c r="H519" s="13" t="n">
        <v>55</v>
      </c>
      <c r="I519" s="16" t="n">
        <v>0</v>
      </c>
      <c r="J519" s="13" t="n">
        <f aca="false">G519*H519</f>
        <v>55</v>
      </c>
      <c r="K519" s="13" t="n">
        <f aca="false">J519*(1-I519)</f>
        <v>55</v>
      </c>
    </row>
    <row r="520" customFormat="false" ht="15" hidden="false" customHeight="false" outlineLevel="0" collapsed="false">
      <c r="A520" s="11" t="n">
        <v>519</v>
      </c>
      <c r="B520" s="15" t="n">
        <v>45843</v>
      </c>
      <c r="C520" s="11" t="n">
        <v>5</v>
      </c>
      <c r="D520" s="11" t="n">
        <v>10</v>
      </c>
      <c r="E520" s="11" t="n">
        <v>7</v>
      </c>
      <c r="F520" s="11" t="n">
        <v>11</v>
      </c>
      <c r="G520" s="11" t="n">
        <v>5</v>
      </c>
      <c r="H520" s="13" t="n">
        <v>72</v>
      </c>
      <c r="I520" s="16" t="n">
        <v>0</v>
      </c>
      <c r="J520" s="13" t="n">
        <f aca="false">G520*H520</f>
        <v>360</v>
      </c>
      <c r="K520" s="13" t="n">
        <f aca="false">J520*(1-I520)</f>
        <v>360</v>
      </c>
    </row>
    <row r="521" customFormat="false" ht="15" hidden="false" customHeight="false" outlineLevel="0" collapsed="false">
      <c r="A521" s="11" t="n">
        <v>520</v>
      </c>
      <c r="B521" s="15" t="n">
        <v>45843</v>
      </c>
      <c r="C521" s="11" t="n">
        <v>2</v>
      </c>
      <c r="D521" s="11" t="n">
        <v>4</v>
      </c>
      <c r="E521" s="11" t="n">
        <v>13</v>
      </c>
      <c r="F521" s="11" t="n">
        <v>12</v>
      </c>
      <c r="G521" s="11" t="n">
        <v>1</v>
      </c>
      <c r="H521" s="13" t="n">
        <v>45</v>
      </c>
      <c r="I521" s="16" t="n">
        <v>0</v>
      </c>
      <c r="J521" s="13" t="n">
        <f aca="false">G521*H521</f>
        <v>45</v>
      </c>
      <c r="K521" s="13" t="n">
        <f aca="false">J521*(1-I521)</f>
        <v>45</v>
      </c>
    </row>
    <row r="522" customFormat="false" ht="15" hidden="false" customHeight="false" outlineLevel="0" collapsed="false">
      <c r="A522" s="11" t="n">
        <v>521</v>
      </c>
      <c r="B522" s="15" t="n">
        <v>45844</v>
      </c>
      <c r="C522" s="11" t="n">
        <v>4</v>
      </c>
      <c r="D522" s="11" t="n">
        <v>9</v>
      </c>
      <c r="E522" s="11" t="n">
        <v>11</v>
      </c>
      <c r="F522" s="11" t="n">
        <v>5</v>
      </c>
      <c r="G522" s="11" t="n">
        <v>2</v>
      </c>
      <c r="H522" s="13" t="n">
        <v>58</v>
      </c>
      <c r="I522" s="16" t="n">
        <v>0</v>
      </c>
      <c r="J522" s="13" t="n">
        <f aca="false">G522*H522</f>
        <v>116</v>
      </c>
      <c r="K522" s="13" t="n">
        <f aca="false">J522*(1-I522)</f>
        <v>116</v>
      </c>
    </row>
    <row r="523" customFormat="false" ht="15" hidden="false" customHeight="false" outlineLevel="0" collapsed="false">
      <c r="A523" s="11" t="n">
        <v>522</v>
      </c>
      <c r="B523" s="15" t="n">
        <v>45844</v>
      </c>
      <c r="C523" s="11" t="n">
        <v>5</v>
      </c>
      <c r="D523" s="11" t="n">
        <v>10</v>
      </c>
      <c r="E523" s="11" t="n">
        <v>19</v>
      </c>
      <c r="F523" s="11" t="n">
        <v>16</v>
      </c>
      <c r="G523" s="11" t="n">
        <v>4</v>
      </c>
      <c r="H523" s="13" t="n">
        <v>45</v>
      </c>
      <c r="I523" s="16" t="n">
        <v>0</v>
      </c>
      <c r="J523" s="13" t="n">
        <f aca="false">G523*H523</f>
        <v>180</v>
      </c>
      <c r="K523" s="13" t="n">
        <f aca="false">J523*(1-I523)</f>
        <v>180</v>
      </c>
    </row>
    <row r="524" customFormat="false" ht="15" hidden="false" customHeight="false" outlineLevel="0" collapsed="false">
      <c r="A524" s="11" t="n">
        <v>523</v>
      </c>
      <c r="B524" s="15" t="n">
        <v>45844</v>
      </c>
      <c r="C524" s="11" t="n">
        <v>1</v>
      </c>
      <c r="D524" s="11" t="n">
        <v>2</v>
      </c>
      <c r="E524" s="11" t="n">
        <v>21</v>
      </c>
      <c r="F524" s="11" t="n">
        <v>8</v>
      </c>
      <c r="G524" s="11" t="n">
        <v>1</v>
      </c>
      <c r="H524" s="13" t="n">
        <v>52</v>
      </c>
      <c r="I524" s="16" t="n">
        <v>0</v>
      </c>
      <c r="J524" s="13" t="n">
        <f aca="false">G524*H524</f>
        <v>52</v>
      </c>
      <c r="K524" s="13" t="n">
        <f aca="false">J524*(1-I524)</f>
        <v>52</v>
      </c>
    </row>
    <row r="525" customFormat="false" ht="15" hidden="false" customHeight="false" outlineLevel="0" collapsed="false">
      <c r="A525" s="11" t="n">
        <v>524</v>
      </c>
      <c r="B525" s="15" t="n">
        <v>45844</v>
      </c>
      <c r="C525" s="11" t="n">
        <v>1</v>
      </c>
      <c r="D525" s="11" t="n">
        <v>1</v>
      </c>
      <c r="E525" s="11" t="n">
        <v>27</v>
      </c>
      <c r="F525" s="11" t="n">
        <v>1</v>
      </c>
      <c r="G525" s="11" t="n">
        <v>4</v>
      </c>
      <c r="H525" s="13" t="n">
        <v>35</v>
      </c>
      <c r="I525" s="16" t="n">
        <v>0.1</v>
      </c>
      <c r="J525" s="13" t="n">
        <f aca="false">G525*H525</f>
        <v>140</v>
      </c>
      <c r="K525" s="13" t="n">
        <f aca="false">J525*(1-I525)</f>
        <v>126</v>
      </c>
    </row>
    <row r="526" customFormat="false" ht="15" hidden="false" customHeight="false" outlineLevel="0" collapsed="false">
      <c r="A526" s="11" t="n">
        <v>525</v>
      </c>
      <c r="B526" s="15" t="n">
        <v>45844</v>
      </c>
      <c r="C526" s="11" t="n">
        <v>1</v>
      </c>
      <c r="D526" s="11" t="n">
        <v>1</v>
      </c>
      <c r="E526" s="11" t="n">
        <v>4</v>
      </c>
      <c r="F526" s="11" t="n">
        <v>12</v>
      </c>
      <c r="G526" s="11" t="n">
        <v>1</v>
      </c>
      <c r="H526" s="13" t="n">
        <v>45</v>
      </c>
      <c r="I526" s="16" t="n">
        <v>0</v>
      </c>
      <c r="J526" s="13" t="n">
        <f aca="false">G526*H526</f>
        <v>45</v>
      </c>
      <c r="K526" s="13" t="n">
        <f aca="false">J526*(1-I526)</f>
        <v>45</v>
      </c>
    </row>
    <row r="527" customFormat="false" ht="15" hidden="false" customHeight="false" outlineLevel="0" collapsed="false">
      <c r="A527" s="11" t="n">
        <v>526</v>
      </c>
      <c r="B527" s="15" t="n">
        <v>45844</v>
      </c>
      <c r="C527" s="11" t="n">
        <v>4</v>
      </c>
      <c r="D527" s="11" t="n">
        <v>9</v>
      </c>
      <c r="E527" s="11" t="n">
        <v>47</v>
      </c>
      <c r="F527" s="11" t="n">
        <v>14</v>
      </c>
      <c r="G527" s="11" t="n">
        <v>1</v>
      </c>
      <c r="H527" s="13" t="n">
        <v>38</v>
      </c>
      <c r="I527" s="16" t="n">
        <v>0</v>
      </c>
      <c r="J527" s="13" t="n">
        <f aca="false">G527*H527</f>
        <v>38</v>
      </c>
      <c r="K527" s="13" t="n">
        <f aca="false">J527*(1-I527)</f>
        <v>38</v>
      </c>
    </row>
    <row r="528" customFormat="false" ht="15" hidden="false" customHeight="false" outlineLevel="0" collapsed="false">
      <c r="A528" s="11" t="n">
        <v>527</v>
      </c>
      <c r="B528" s="15" t="n">
        <v>45844</v>
      </c>
      <c r="C528" s="11" t="n">
        <v>3</v>
      </c>
      <c r="D528" s="11" t="n">
        <v>6</v>
      </c>
      <c r="E528" s="11" t="n">
        <v>5</v>
      </c>
      <c r="F528" s="11" t="n">
        <v>19</v>
      </c>
      <c r="G528" s="11" t="n">
        <v>1</v>
      </c>
      <c r="H528" s="13" t="n">
        <v>125</v>
      </c>
      <c r="I528" s="16" t="n">
        <v>0</v>
      </c>
      <c r="J528" s="13" t="n">
        <f aca="false">G528*H528</f>
        <v>125</v>
      </c>
      <c r="K528" s="13" t="n">
        <f aca="false">J528*(1-I528)</f>
        <v>125</v>
      </c>
    </row>
    <row r="529" customFormat="false" ht="15" hidden="false" customHeight="false" outlineLevel="0" collapsed="false">
      <c r="A529" s="11" t="n">
        <v>528</v>
      </c>
      <c r="B529" s="15" t="n">
        <v>45845</v>
      </c>
      <c r="C529" s="11" t="n">
        <v>3</v>
      </c>
      <c r="D529" s="11" t="n">
        <v>7</v>
      </c>
      <c r="E529" s="11" t="n">
        <v>2</v>
      </c>
      <c r="F529" s="11" t="n">
        <v>8</v>
      </c>
      <c r="G529" s="11" t="n">
        <v>1</v>
      </c>
      <c r="H529" s="13" t="n">
        <v>52</v>
      </c>
      <c r="I529" s="16" t="n">
        <v>0</v>
      </c>
      <c r="J529" s="13" t="n">
        <f aca="false">G529*H529</f>
        <v>52</v>
      </c>
      <c r="K529" s="13" t="n">
        <f aca="false">J529*(1-I529)</f>
        <v>52</v>
      </c>
    </row>
    <row r="530" customFormat="false" ht="15" hidden="false" customHeight="false" outlineLevel="0" collapsed="false">
      <c r="A530" s="11" t="n">
        <v>529</v>
      </c>
      <c r="B530" s="15" t="n">
        <v>45845</v>
      </c>
      <c r="C530" s="11" t="n">
        <v>2</v>
      </c>
      <c r="D530" s="11" t="n">
        <v>5</v>
      </c>
      <c r="E530" s="11" t="n">
        <v>47</v>
      </c>
      <c r="F530" s="11" t="n">
        <v>17</v>
      </c>
      <c r="G530" s="11" t="n">
        <v>1</v>
      </c>
      <c r="H530" s="13" t="n">
        <v>28</v>
      </c>
      <c r="I530" s="16" t="n">
        <v>0</v>
      </c>
      <c r="J530" s="13" t="n">
        <f aca="false">G530*H530</f>
        <v>28</v>
      </c>
      <c r="K530" s="13" t="n">
        <f aca="false">J530*(1-I530)</f>
        <v>28</v>
      </c>
    </row>
    <row r="531" customFormat="false" ht="15" hidden="false" customHeight="false" outlineLevel="0" collapsed="false">
      <c r="A531" s="11" t="n">
        <v>530</v>
      </c>
      <c r="B531" s="15" t="n">
        <v>45845</v>
      </c>
      <c r="C531" s="11" t="n">
        <v>5</v>
      </c>
      <c r="D531" s="11" t="n">
        <v>10</v>
      </c>
      <c r="E531" s="11" t="n">
        <v>12</v>
      </c>
      <c r="F531" s="11" t="n">
        <v>13</v>
      </c>
      <c r="G531" s="11" t="n">
        <v>1</v>
      </c>
      <c r="H531" s="13" t="n">
        <v>32</v>
      </c>
      <c r="I531" s="16" t="n">
        <v>0</v>
      </c>
      <c r="J531" s="13" t="n">
        <f aca="false">G531*H531</f>
        <v>32</v>
      </c>
      <c r="K531" s="13" t="n">
        <f aca="false">J531*(1-I531)</f>
        <v>32</v>
      </c>
    </row>
    <row r="532" customFormat="false" ht="15" hidden="false" customHeight="false" outlineLevel="0" collapsed="false">
      <c r="A532" s="11" t="n">
        <v>531</v>
      </c>
      <c r="B532" s="15" t="n">
        <v>45846</v>
      </c>
      <c r="C532" s="11" t="n">
        <v>5</v>
      </c>
      <c r="D532" s="11" t="n">
        <v>10</v>
      </c>
      <c r="E532" s="11" t="n">
        <v>20</v>
      </c>
      <c r="F532" s="11" t="n">
        <v>3</v>
      </c>
      <c r="G532" s="11" t="n">
        <v>2</v>
      </c>
      <c r="H532" s="13" t="n">
        <v>38</v>
      </c>
      <c r="I532" s="16" t="n">
        <v>0.05</v>
      </c>
      <c r="J532" s="13" t="n">
        <f aca="false">G532*H532</f>
        <v>76</v>
      </c>
      <c r="K532" s="13" t="n">
        <f aca="false">J532*(1-I532)</f>
        <v>72.2</v>
      </c>
    </row>
    <row r="533" customFormat="false" ht="15" hidden="false" customHeight="false" outlineLevel="0" collapsed="false">
      <c r="A533" s="11" t="n">
        <v>532</v>
      </c>
      <c r="B533" s="15" t="n">
        <v>45846</v>
      </c>
      <c r="C533" s="11" t="n">
        <v>4</v>
      </c>
      <c r="D533" s="11" t="n">
        <v>9</v>
      </c>
      <c r="E533" s="11" t="n">
        <v>13</v>
      </c>
      <c r="F533" s="11" t="n">
        <v>2</v>
      </c>
      <c r="G533" s="11" t="n">
        <v>1</v>
      </c>
      <c r="H533" s="13" t="n">
        <v>45</v>
      </c>
      <c r="I533" s="16" t="n">
        <v>0</v>
      </c>
      <c r="J533" s="13" t="n">
        <f aca="false">G533*H533</f>
        <v>45</v>
      </c>
      <c r="K533" s="13" t="n">
        <f aca="false">J533*(1-I533)</f>
        <v>45</v>
      </c>
    </row>
    <row r="534" customFormat="false" ht="15" hidden="false" customHeight="false" outlineLevel="0" collapsed="false">
      <c r="A534" s="11" t="n">
        <v>533</v>
      </c>
      <c r="B534" s="15" t="n">
        <v>45846</v>
      </c>
      <c r="C534" s="11" t="n">
        <v>3</v>
      </c>
      <c r="D534" s="11" t="n">
        <v>6</v>
      </c>
      <c r="E534" s="11" t="n">
        <v>60</v>
      </c>
      <c r="F534" s="11" t="n">
        <v>16</v>
      </c>
      <c r="G534" s="11" t="n">
        <v>1</v>
      </c>
      <c r="H534" s="13" t="n">
        <v>45</v>
      </c>
      <c r="I534" s="16" t="n">
        <v>0</v>
      </c>
      <c r="J534" s="13" t="n">
        <f aca="false">G534*H534</f>
        <v>45</v>
      </c>
      <c r="K534" s="13" t="n">
        <f aca="false">J534*(1-I534)</f>
        <v>45</v>
      </c>
    </row>
    <row r="535" customFormat="false" ht="15" hidden="false" customHeight="false" outlineLevel="0" collapsed="false">
      <c r="A535" s="11" t="n">
        <v>534</v>
      </c>
      <c r="B535" s="15" t="n">
        <v>45846</v>
      </c>
      <c r="C535" s="11" t="n">
        <v>4</v>
      </c>
      <c r="D535" s="11" t="n">
        <v>8</v>
      </c>
      <c r="E535" s="11" t="n">
        <v>23</v>
      </c>
      <c r="F535" s="11" t="n">
        <v>10</v>
      </c>
      <c r="G535" s="11" t="n">
        <v>1</v>
      </c>
      <c r="H535" s="13" t="n">
        <v>70</v>
      </c>
      <c r="I535" s="16" t="n">
        <v>0</v>
      </c>
      <c r="J535" s="13" t="n">
        <f aca="false">G535*H535</f>
        <v>70</v>
      </c>
      <c r="K535" s="13" t="n">
        <f aca="false">J535*(1-I535)</f>
        <v>70</v>
      </c>
    </row>
    <row r="536" customFormat="false" ht="15" hidden="false" customHeight="false" outlineLevel="0" collapsed="false">
      <c r="A536" s="11" t="n">
        <v>535</v>
      </c>
      <c r="B536" s="15" t="n">
        <v>45846</v>
      </c>
      <c r="C536" s="11" t="n">
        <v>5</v>
      </c>
      <c r="D536" s="11" t="n">
        <v>10</v>
      </c>
      <c r="E536" s="11" t="n">
        <v>49</v>
      </c>
      <c r="F536" s="11" t="n">
        <v>4</v>
      </c>
      <c r="G536" s="11" t="n">
        <v>2</v>
      </c>
      <c r="H536" s="13" t="n">
        <v>55</v>
      </c>
      <c r="I536" s="16" t="n">
        <v>0</v>
      </c>
      <c r="J536" s="13" t="n">
        <f aca="false">G536*H536</f>
        <v>110</v>
      </c>
      <c r="K536" s="13" t="n">
        <f aca="false">J536*(1-I536)</f>
        <v>110</v>
      </c>
    </row>
    <row r="537" customFormat="false" ht="15" hidden="false" customHeight="false" outlineLevel="0" collapsed="false">
      <c r="A537" s="11" t="n">
        <v>536</v>
      </c>
      <c r="B537" s="15" t="n">
        <v>45847</v>
      </c>
      <c r="C537" s="11" t="n">
        <v>4</v>
      </c>
      <c r="D537" s="11" t="n">
        <v>9</v>
      </c>
      <c r="E537" s="11" t="n">
        <v>59</v>
      </c>
      <c r="F537" s="11" t="n">
        <v>16</v>
      </c>
      <c r="G537" s="11" t="n">
        <v>4</v>
      </c>
      <c r="H537" s="13" t="n">
        <v>45</v>
      </c>
      <c r="I537" s="16" t="n">
        <v>0</v>
      </c>
      <c r="J537" s="13" t="n">
        <f aca="false">G537*H537</f>
        <v>180</v>
      </c>
      <c r="K537" s="13" t="n">
        <f aca="false">J537*(1-I537)</f>
        <v>180</v>
      </c>
    </row>
    <row r="538" customFormat="false" ht="15" hidden="false" customHeight="false" outlineLevel="0" collapsed="false">
      <c r="A538" s="11" t="n">
        <v>537</v>
      </c>
      <c r="B538" s="15" t="n">
        <v>45847</v>
      </c>
      <c r="C538" s="11" t="n">
        <v>3</v>
      </c>
      <c r="D538" s="11" t="n">
        <v>6</v>
      </c>
      <c r="E538" s="11" t="n">
        <v>26</v>
      </c>
      <c r="F538" s="11" t="n">
        <v>4</v>
      </c>
      <c r="G538" s="11" t="n">
        <v>2</v>
      </c>
      <c r="H538" s="13" t="n">
        <v>55</v>
      </c>
      <c r="I538" s="16" t="n">
        <v>0</v>
      </c>
      <c r="J538" s="13" t="n">
        <f aca="false">G538*H538</f>
        <v>110</v>
      </c>
      <c r="K538" s="13" t="n">
        <f aca="false">J538*(1-I538)</f>
        <v>110</v>
      </c>
    </row>
    <row r="539" customFormat="false" ht="15" hidden="false" customHeight="false" outlineLevel="0" collapsed="false">
      <c r="A539" s="11" t="n">
        <v>538</v>
      </c>
      <c r="B539" s="15" t="n">
        <v>45848</v>
      </c>
      <c r="C539" s="11" t="n">
        <v>4</v>
      </c>
      <c r="D539" s="11" t="n">
        <v>9</v>
      </c>
      <c r="E539" s="11" t="n">
        <v>33</v>
      </c>
      <c r="F539" s="11" t="n">
        <v>18</v>
      </c>
      <c r="G539" s="11" t="n">
        <v>1</v>
      </c>
      <c r="H539" s="13" t="n">
        <v>95</v>
      </c>
      <c r="I539" s="16" t="n">
        <v>0</v>
      </c>
      <c r="J539" s="13" t="n">
        <f aca="false">G539*H539</f>
        <v>95</v>
      </c>
      <c r="K539" s="13" t="n">
        <f aca="false">J539*(1-I539)</f>
        <v>95</v>
      </c>
    </row>
    <row r="540" customFormat="false" ht="15" hidden="false" customHeight="false" outlineLevel="0" collapsed="false">
      <c r="A540" s="11" t="n">
        <v>539</v>
      </c>
      <c r="B540" s="15" t="n">
        <v>45848</v>
      </c>
      <c r="C540" s="11" t="n">
        <v>4</v>
      </c>
      <c r="D540" s="11" t="n">
        <v>8</v>
      </c>
      <c r="E540" s="11" t="n">
        <v>23</v>
      </c>
      <c r="F540" s="11" t="n">
        <v>17</v>
      </c>
      <c r="G540" s="11" t="n">
        <v>1</v>
      </c>
      <c r="H540" s="13" t="n">
        <v>28</v>
      </c>
      <c r="I540" s="16" t="n">
        <v>0</v>
      </c>
      <c r="J540" s="13" t="n">
        <f aca="false">G540*H540</f>
        <v>28</v>
      </c>
      <c r="K540" s="13" t="n">
        <f aca="false">J540*(1-I540)</f>
        <v>28</v>
      </c>
    </row>
    <row r="541" customFormat="false" ht="15" hidden="false" customHeight="false" outlineLevel="0" collapsed="false">
      <c r="A541" s="11" t="n">
        <v>540</v>
      </c>
      <c r="B541" s="15" t="n">
        <v>45848</v>
      </c>
      <c r="C541" s="11" t="n">
        <v>1</v>
      </c>
      <c r="D541" s="11" t="n">
        <v>1</v>
      </c>
      <c r="E541" s="11" t="n">
        <v>7</v>
      </c>
      <c r="F541" s="11" t="n">
        <v>6</v>
      </c>
      <c r="G541" s="11" t="n">
        <v>3</v>
      </c>
      <c r="H541" s="13" t="n">
        <v>62</v>
      </c>
      <c r="I541" s="16" t="n">
        <v>0.05</v>
      </c>
      <c r="J541" s="13" t="n">
        <f aca="false">G541*H541</f>
        <v>186</v>
      </c>
      <c r="K541" s="13" t="n">
        <f aca="false">J541*(1-I541)</f>
        <v>176.7</v>
      </c>
    </row>
    <row r="542" customFormat="false" ht="15" hidden="false" customHeight="false" outlineLevel="0" collapsed="false">
      <c r="A542" s="11" t="n">
        <v>541</v>
      </c>
      <c r="B542" s="15" t="n">
        <v>45849</v>
      </c>
      <c r="C542" s="11" t="n">
        <v>5</v>
      </c>
      <c r="D542" s="11" t="n">
        <v>10</v>
      </c>
      <c r="E542" s="11" t="n">
        <v>57</v>
      </c>
      <c r="F542" s="11" t="n">
        <v>18</v>
      </c>
      <c r="G542" s="11" t="n">
        <v>3</v>
      </c>
      <c r="H542" s="13" t="n">
        <v>95</v>
      </c>
      <c r="I542" s="16" t="n">
        <v>0</v>
      </c>
      <c r="J542" s="13" t="n">
        <f aca="false">G542*H542</f>
        <v>285</v>
      </c>
      <c r="K542" s="13" t="n">
        <f aca="false">J542*(1-I542)</f>
        <v>285</v>
      </c>
    </row>
    <row r="543" customFormat="false" ht="15" hidden="false" customHeight="false" outlineLevel="0" collapsed="false">
      <c r="A543" s="11" t="n">
        <v>542</v>
      </c>
      <c r="B543" s="15" t="n">
        <v>45849</v>
      </c>
      <c r="C543" s="11" t="n">
        <v>4</v>
      </c>
      <c r="D543" s="11" t="n">
        <v>8</v>
      </c>
      <c r="E543" s="11" t="n">
        <v>44</v>
      </c>
      <c r="F543" s="11" t="n">
        <v>7</v>
      </c>
      <c r="G543" s="11" t="n">
        <v>1</v>
      </c>
      <c r="H543" s="13" t="n">
        <v>50</v>
      </c>
      <c r="I543" s="16" t="n">
        <v>0</v>
      </c>
      <c r="J543" s="13" t="n">
        <f aca="false">G543*H543</f>
        <v>50</v>
      </c>
      <c r="K543" s="13" t="n">
        <f aca="false">J543*(1-I543)</f>
        <v>50</v>
      </c>
    </row>
    <row r="544" customFormat="false" ht="15" hidden="false" customHeight="false" outlineLevel="0" collapsed="false">
      <c r="A544" s="11" t="n">
        <v>543</v>
      </c>
      <c r="B544" s="15" t="n">
        <v>45849</v>
      </c>
      <c r="C544" s="11" t="n">
        <v>4</v>
      </c>
      <c r="D544" s="11" t="n">
        <v>8</v>
      </c>
      <c r="E544" s="11" t="n">
        <v>50</v>
      </c>
      <c r="F544" s="11" t="n">
        <v>18</v>
      </c>
      <c r="G544" s="11" t="n">
        <v>1</v>
      </c>
      <c r="H544" s="13" t="n">
        <v>95</v>
      </c>
      <c r="I544" s="16" t="n">
        <v>0</v>
      </c>
      <c r="J544" s="13" t="n">
        <f aca="false">G544*H544</f>
        <v>95</v>
      </c>
      <c r="K544" s="13" t="n">
        <f aca="false">J544*(1-I544)</f>
        <v>95</v>
      </c>
    </row>
    <row r="545" customFormat="false" ht="15" hidden="false" customHeight="false" outlineLevel="0" collapsed="false">
      <c r="A545" s="11" t="n">
        <v>544</v>
      </c>
      <c r="B545" s="15" t="n">
        <v>45850</v>
      </c>
      <c r="C545" s="11" t="n">
        <v>4</v>
      </c>
      <c r="D545" s="11" t="n">
        <v>9</v>
      </c>
      <c r="E545" s="11" t="n">
        <v>32</v>
      </c>
      <c r="F545" s="11" t="n">
        <v>16</v>
      </c>
      <c r="G545" s="11" t="n">
        <v>3</v>
      </c>
      <c r="H545" s="13" t="n">
        <v>45</v>
      </c>
      <c r="I545" s="16" t="n">
        <v>0</v>
      </c>
      <c r="J545" s="13" t="n">
        <f aca="false">G545*H545</f>
        <v>135</v>
      </c>
      <c r="K545" s="13" t="n">
        <f aca="false">J545*(1-I545)</f>
        <v>135</v>
      </c>
    </row>
    <row r="546" customFormat="false" ht="15" hidden="false" customHeight="false" outlineLevel="0" collapsed="false">
      <c r="A546" s="11" t="n">
        <v>545</v>
      </c>
      <c r="B546" s="15" t="n">
        <v>45851</v>
      </c>
      <c r="C546" s="11" t="n">
        <v>3</v>
      </c>
      <c r="D546" s="11" t="n">
        <v>6</v>
      </c>
      <c r="E546" s="11" t="n">
        <v>23</v>
      </c>
      <c r="F546" s="11" t="n">
        <v>1</v>
      </c>
      <c r="G546" s="11" t="n">
        <v>1</v>
      </c>
      <c r="H546" s="13" t="n">
        <v>35</v>
      </c>
      <c r="I546" s="16" t="n">
        <v>0</v>
      </c>
      <c r="J546" s="13" t="n">
        <f aca="false">G546*H546</f>
        <v>35</v>
      </c>
      <c r="K546" s="13" t="n">
        <f aca="false">J546*(1-I546)</f>
        <v>35</v>
      </c>
    </row>
    <row r="547" customFormat="false" ht="15" hidden="false" customHeight="false" outlineLevel="0" collapsed="false">
      <c r="A547" s="11" t="n">
        <v>546</v>
      </c>
      <c r="B547" s="15" t="n">
        <v>45851</v>
      </c>
      <c r="C547" s="11" t="n">
        <v>1</v>
      </c>
      <c r="D547" s="11" t="n">
        <v>2</v>
      </c>
      <c r="E547" s="11" t="n">
        <v>36</v>
      </c>
      <c r="F547" s="11" t="n">
        <v>9</v>
      </c>
      <c r="G547" s="11" t="n">
        <v>1</v>
      </c>
      <c r="H547" s="13" t="n">
        <v>40</v>
      </c>
      <c r="I547" s="16" t="n">
        <v>0</v>
      </c>
      <c r="J547" s="13" t="n">
        <f aca="false">G547*H547</f>
        <v>40</v>
      </c>
      <c r="K547" s="13" t="n">
        <f aca="false">J547*(1-I547)</f>
        <v>40</v>
      </c>
    </row>
    <row r="548" customFormat="false" ht="15" hidden="false" customHeight="false" outlineLevel="0" collapsed="false">
      <c r="A548" s="11" t="n">
        <v>547</v>
      </c>
      <c r="B548" s="15" t="n">
        <v>45851</v>
      </c>
      <c r="C548" s="11" t="n">
        <v>4</v>
      </c>
      <c r="D548" s="11" t="n">
        <v>8</v>
      </c>
      <c r="E548" s="11" t="n">
        <v>31</v>
      </c>
      <c r="F548" s="11" t="n">
        <v>6</v>
      </c>
      <c r="G548" s="11" t="n">
        <v>1</v>
      </c>
      <c r="H548" s="13" t="n">
        <v>62</v>
      </c>
      <c r="I548" s="16" t="n">
        <v>0</v>
      </c>
      <c r="J548" s="13" t="n">
        <f aca="false">G548*H548</f>
        <v>62</v>
      </c>
      <c r="K548" s="13" t="n">
        <f aca="false">J548*(1-I548)</f>
        <v>62</v>
      </c>
    </row>
    <row r="549" customFormat="false" ht="15" hidden="false" customHeight="false" outlineLevel="0" collapsed="false">
      <c r="A549" s="11" t="n">
        <v>548</v>
      </c>
      <c r="B549" s="15" t="n">
        <v>45851</v>
      </c>
      <c r="C549" s="11" t="n">
        <v>3</v>
      </c>
      <c r="D549" s="11" t="n">
        <v>7</v>
      </c>
      <c r="E549" s="11" t="n">
        <v>12</v>
      </c>
      <c r="F549" s="11" t="n">
        <v>14</v>
      </c>
      <c r="G549" s="11" t="n">
        <v>1</v>
      </c>
      <c r="H549" s="13" t="n">
        <v>38</v>
      </c>
      <c r="I549" s="16" t="n">
        <v>0</v>
      </c>
      <c r="J549" s="13" t="n">
        <f aca="false">G549*H549</f>
        <v>38</v>
      </c>
      <c r="K549" s="13" t="n">
        <f aca="false">J549*(1-I549)</f>
        <v>38</v>
      </c>
    </row>
    <row r="550" customFormat="false" ht="15" hidden="false" customHeight="false" outlineLevel="0" collapsed="false">
      <c r="A550" s="11" t="n">
        <v>549</v>
      </c>
      <c r="B550" s="15" t="n">
        <v>45852</v>
      </c>
      <c r="C550" s="11" t="n">
        <v>4</v>
      </c>
      <c r="D550" s="11" t="n">
        <v>8</v>
      </c>
      <c r="E550" s="11" t="n">
        <v>9</v>
      </c>
      <c r="F550" s="11" t="n">
        <v>11</v>
      </c>
      <c r="G550" s="11" t="n">
        <v>2</v>
      </c>
      <c r="H550" s="13" t="n">
        <v>72</v>
      </c>
      <c r="I550" s="16" t="n">
        <v>0</v>
      </c>
      <c r="J550" s="13" t="n">
        <f aca="false">G550*H550</f>
        <v>144</v>
      </c>
      <c r="K550" s="13" t="n">
        <f aca="false">J550*(1-I550)</f>
        <v>144</v>
      </c>
    </row>
    <row r="551" customFormat="false" ht="15" hidden="false" customHeight="false" outlineLevel="0" collapsed="false">
      <c r="A551" s="11" t="n">
        <v>550</v>
      </c>
      <c r="B551" s="15" t="n">
        <v>45852</v>
      </c>
      <c r="C551" s="11" t="n">
        <v>3</v>
      </c>
      <c r="D551" s="11" t="n">
        <v>6</v>
      </c>
      <c r="E551" s="11" t="n">
        <v>8</v>
      </c>
      <c r="F551" s="11" t="n">
        <v>5</v>
      </c>
      <c r="G551" s="11" t="n">
        <v>2</v>
      </c>
      <c r="H551" s="13" t="n">
        <v>58</v>
      </c>
      <c r="I551" s="16" t="n">
        <v>0</v>
      </c>
      <c r="J551" s="13" t="n">
        <f aca="false">G551*H551</f>
        <v>116</v>
      </c>
      <c r="K551" s="13" t="n">
        <f aca="false">J551*(1-I551)</f>
        <v>116</v>
      </c>
    </row>
    <row r="552" customFormat="false" ht="15" hidden="false" customHeight="false" outlineLevel="0" collapsed="false">
      <c r="A552" s="11" t="n">
        <v>551</v>
      </c>
      <c r="B552" s="15" t="n">
        <v>45852</v>
      </c>
      <c r="C552" s="11" t="n">
        <v>2</v>
      </c>
      <c r="D552" s="11" t="n">
        <v>4</v>
      </c>
      <c r="E552" s="11" t="n">
        <v>35</v>
      </c>
      <c r="F552" s="11" t="n">
        <v>8</v>
      </c>
      <c r="G552" s="11" t="n">
        <v>1</v>
      </c>
      <c r="H552" s="13" t="n">
        <v>52</v>
      </c>
      <c r="I552" s="16" t="n">
        <v>0.1</v>
      </c>
      <c r="J552" s="13" t="n">
        <f aca="false">G552*H552</f>
        <v>52</v>
      </c>
      <c r="K552" s="13" t="n">
        <f aca="false">J552*(1-I552)</f>
        <v>46.8</v>
      </c>
    </row>
    <row r="553" customFormat="false" ht="15" hidden="false" customHeight="false" outlineLevel="0" collapsed="false">
      <c r="A553" s="11" t="n">
        <v>552</v>
      </c>
      <c r="B553" s="15" t="n">
        <v>45852</v>
      </c>
      <c r="C553" s="11" t="n">
        <v>1</v>
      </c>
      <c r="D553" s="11" t="n">
        <v>1</v>
      </c>
      <c r="E553" s="11" t="n">
        <v>24</v>
      </c>
      <c r="F553" s="11" t="n">
        <v>12</v>
      </c>
      <c r="G553" s="11" t="n">
        <v>1</v>
      </c>
      <c r="H553" s="13" t="n">
        <v>45</v>
      </c>
      <c r="I553" s="16" t="n">
        <v>0</v>
      </c>
      <c r="J553" s="13" t="n">
        <f aca="false">G553*H553</f>
        <v>45</v>
      </c>
      <c r="K553" s="13" t="n">
        <f aca="false">J553*(1-I553)</f>
        <v>45</v>
      </c>
    </row>
    <row r="554" customFormat="false" ht="15" hidden="false" customHeight="false" outlineLevel="0" collapsed="false">
      <c r="A554" s="11" t="n">
        <v>553</v>
      </c>
      <c r="B554" s="15" t="n">
        <v>45852</v>
      </c>
      <c r="C554" s="11" t="n">
        <v>4</v>
      </c>
      <c r="D554" s="11" t="n">
        <v>9</v>
      </c>
      <c r="E554" s="11" t="n">
        <v>45</v>
      </c>
      <c r="F554" s="11" t="n">
        <v>4</v>
      </c>
      <c r="G554" s="11" t="n">
        <v>1</v>
      </c>
      <c r="H554" s="13" t="n">
        <v>55</v>
      </c>
      <c r="I554" s="16" t="n">
        <v>0</v>
      </c>
      <c r="J554" s="13" t="n">
        <f aca="false">G554*H554</f>
        <v>55</v>
      </c>
      <c r="K554" s="13" t="n">
        <f aca="false">J554*(1-I554)</f>
        <v>55</v>
      </c>
    </row>
    <row r="555" customFormat="false" ht="15" hidden="false" customHeight="false" outlineLevel="0" collapsed="false">
      <c r="A555" s="11" t="n">
        <v>554</v>
      </c>
      <c r="B555" s="15" t="n">
        <v>45852</v>
      </c>
      <c r="C555" s="11" t="n">
        <v>5</v>
      </c>
      <c r="D555" s="11" t="n">
        <v>10</v>
      </c>
      <c r="E555" s="11" t="n">
        <v>46</v>
      </c>
      <c r="F555" s="11" t="n">
        <v>14</v>
      </c>
      <c r="G555" s="11" t="n">
        <v>3</v>
      </c>
      <c r="H555" s="13" t="n">
        <v>38</v>
      </c>
      <c r="I555" s="16" t="n">
        <v>0.05</v>
      </c>
      <c r="J555" s="13" t="n">
        <f aca="false">G555*H555</f>
        <v>114</v>
      </c>
      <c r="K555" s="13" t="n">
        <f aca="false">J555*(1-I555)</f>
        <v>108.3</v>
      </c>
    </row>
    <row r="556" customFormat="false" ht="15" hidden="false" customHeight="false" outlineLevel="0" collapsed="false">
      <c r="A556" s="11" t="n">
        <v>555</v>
      </c>
      <c r="B556" s="15" t="n">
        <v>45852</v>
      </c>
      <c r="C556" s="11" t="n">
        <v>2</v>
      </c>
      <c r="D556" s="11" t="n">
        <v>5</v>
      </c>
      <c r="E556" s="11" t="n">
        <v>21</v>
      </c>
      <c r="F556" s="11" t="n">
        <v>9</v>
      </c>
      <c r="G556" s="11" t="n">
        <v>1</v>
      </c>
      <c r="H556" s="13" t="n">
        <v>40</v>
      </c>
      <c r="I556" s="16" t="n">
        <v>0</v>
      </c>
      <c r="J556" s="13" t="n">
        <f aca="false">G556*H556</f>
        <v>40</v>
      </c>
      <c r="K556" s="13" t="n">
        <f aca="false">J556*(1-I556)</f>
        <v>40</v>
      </c>
    </row>
    <row r="557" customFormat="false" ht="15" hidden="false" customHeight="false" outlineLevel="0" collapsed="false">
      <c r="A557" s="11" t="n">
        <v>556</v>
      </c>
      <c r="B557" s="15" t="n">
        <v>45853</v>
      </c>
      <c r="C557" s="11" t="n">
        <v>5</v>
      </c>
      <c r="D557" s="11" t="n">
        <v>10</v>
      </c>
      <c r="E557" s="11" t="n">
        <v>38</v>
      </c>
      <c r="F557" s="11" t="n">
        <v>14</v>
      </c>
      <c r="G557" s="11" t="n">
        <v>2</v>
      </c>
      <c r="H557" s="13" t="n">
        <v>38</v>
      </c>
      <c r="I557" s="16" t="n">
        <v>0</v>
      </c>
      <c r="J557" s="13" t="n">
        <f aca="false">G557*H557</f>
        <v>76</v>
      </c>
      <c r="K557" s="13" t="n">
        <f aca="false">J557*(1-I557)</f>
        <v>76</v>
      </c>
    </row>
    <row r="558" customFormat="false" ht="15" hidden="false" customHeight="false" outlineLevel="0" collapsed="false">
      <c r="A558" s="11" t="n">
        <v>557</v>
      </c>
      <c r="B558" s="15" t="n">
        <v>45853</v>
      </c>
      <c r="C558" s="11" t="n">
        <v>4</v>
      </c>
      <c r="D558" s="11" t="n">
        <v>8</v>
      </c>
      <c r="E558" s="11" t="n">
        <v>31</v>
      </c>
      <c r="F558" s="11" t="n">
        <v>4</v>
      </c>
      <c r="G558" s="11" t="n">
        <v>1</v>
      </c>
      <c r="H558" s="13" t="n">
        <v>55</v>
      </c>
      <c r="I558" s="16" t="n">
        <v>0</v>
      </c>
      <c r="J558" s="13" t="n">
        <f aca="false">G558*H558</f>
        <v>55</v>
      </c>
      <c r="K558" s="13" t="n">
        <f aca="false">J558*(1-I558)</f>
        <v>55</v>
      </c>
    </row>
    <row r="559" customFormat="false" ht="15" hidden="false" customHeight="false" outlineLevel="0" collapsed="false">
      <c r="A559" s="11" t="n">
        <v>558</v>
      </c>
      <c r="B559" s="15" t="n">
        <v>45853</v>
      </c>
      <c r="C559" s="11" t="n">
        <v>4</v>
      </c>
      <c r="D559" s="11" t="n">
        <v>8</v>
      </c>
      <c r="E559" s="11" t="n">
        <v>22</v>
      </c>
      <c r="F559" s="11" t="n">
        <v>1</v>
      </c>
      <c r="G559" s="11" t="n">
        <v>1</v>
      </c>
      <c r="H559" s="13" t="n">
        <v>35</v>
      </c>
      <c r="I559" s="16" t="n">
        <v>0</v>
      </c>
      <c r="J559" s="13" t="n">
        <f aca="false">G559*H559</f>
        <v>35</v>
      </c>
      <c r="K559" s="13" t="n">
        <f aca="false">J559*(1-I559)</f>
        <v>35</v>
      </c>
    </row>
    <row r="560" customFormat="false" ht="15" hidden="false" customHeight="false" outlineLevel="0" collapsed="false">
      <c r="A560" s="11" t="n">
        <v>559</v>
      </c>
      <c r="B560" s="15" t="n">
        <v>45854</v>
      </c>
      <c r="C560" s="11" t="n">
        <v>2</v>
      </c>
      <c r="D560" s="11" t="n">
        <v>5</v>
      </c>
      <c r="E560" s="11" t="n">
        <v>19</v>
      </c>
      <c r="F560" s="11" t="n">
        <v>4</v>
      </c>
      <c r="G560" s="11" t="n">
        <v>2</v>
      </c>
      <c r="H560" s="13" t="n">
        <v>55</v>
      </c>
      <c r="I560" s="16" t="n">
        <v>0</v>
      </c>
      <c r="J560" s="13" t="n">
        <f aca="false">G560*H560</f>
        <v>110</v>
      </c>
      <c r="K560" s="13" t="n">
        <f aca="false">J560*(1-I560)</f>
        <v>110</v>
      </c>
    </row>
    <row r="561" customFormat="false" ht="15" hidden="false" customHeight="false" outlineLevel="0" collapsed="false">
      <c r="A561" s="11" t="n">
        <v>560</v>
      </c>
      <c r="B561" s="15" t="n">
        <v>45855</v>
      </c>
      <c r="C561" s="11" t="n">
        <v>5</v>
      </c>
      <c r="D561" s="11" t="n">
        <v>10</v>
      </c>
      <c r="E561" s="11" t="n">
        <v>24</v>
      </c>
      <c r="F561" s="11" t="n">
        <v>14</v>
      </c>
      <c r="G561" s="11" t="n">
        <v>1</v>
      </c>
      <c r="H561" s="13" t="n">
        <v>38</v>
      </c>
      <c r="I561" s="16" t="n">
        <v>0</v>
      </c>
      <c r="J561" s="13" t="n">
        <f aca="false">G561*H561</f>
        <v>38</v>
      </c>
      <c r="K561" s="13" t="n">
        <f aca="false">J561*(1-I561)</f>
        <v>38</v>
      </c>
    </row>
    <row r="562" customFormat="false" ht="15" hidden="false" customHeight="false" outlineLevel="0" collapsed="false">
      <c r="A562" s="11" t="n">
        <v>561</v>
      </c>
      <c r="B562" s="15" t="n">
        <v>45855</v>
      </c>
      <c r="C562" s="11" t="n">
        <v>3</v>
      </c>
      <c r="D562" s="11" t="n">
        <v>7</v>
      </c>
      <c r="E562" s="11" t="n">
        <v>56</v>
      </c>
      <c r="F562" s="11" t="n">
        <v>16</v>
      </c>
      <c r="G562" s="11" t="n">
        <v>1</v>
      </c>
      <c r="H562" s="13" t="n">
        <v>45</v>
      </c>
      <c r="I562" s="16" t="n">
        <v>0</v>
      </c>
      <c r="J562" s="13" t="n">
        <f aca="false">G562*H562</f>
        <v>45</v>
      </c>
      <c r="K562" s="13" t="n">
        <f aca="false">J562*(1-I562)</f>
        <v>45</v>
      </c>
    </row>
    <row r="563" customFormat="false" ht="15" hidden="false" customHeight="false" outlineLevel="0" collapsed="false">
      <c r="A563" s="11" t="n">
        <v>562</v>
      </c>
      <c r="B563" s="15" t="n">
        <v>45855</v>
      </c>
      <c r="C563" s="11" t="n">
        <v>4</v>
      </c>
      <c r="D563" s="11" t="n">
        <v>8</v>
      </c>
      <c r="E563" s="11" t="n">
        <v>33</v>
      </c>
      <c r="F563" s="11" t="n">
        <v>6</v>
      </c>
      <c r="G563" s="11" t="n">
        <v>1</v>
      </c>
      <c r="H563" s="13" t="n">
        <v>62</v>
      </c>
      <c r="I563" s="16" t="n">
        <v>0</v>
      </c>
      <c r="J563" s="13" t="n">
        <f aca="false">G563*H563</f>
        <v>62</v>
      </c>
      <c r="K563" s="13" t="n">
        <f aca="false">J563*(1-I563)</f>
        <v>62</v>
      </c>
    </row>
    <row r="564" customFormat="false" ht="15" hidden="false" customHeight="false" outlineLevel="0" collapsed="false">
      <c r="A564" s="11" t="n">
        <v>563</v>
      </c>
      <c r="B564" s="15" t="n">
        <v>45855</v>
      </c>
      <c r="C564" s="11" t="n">
        <v>2</v>
      </c>
      <c r="D564" s="11" t="n">
        <v>4</v>
      </c>
      <c r="E564" s="11" t="n">
        <v>30</v>
      </c>
      <c r="F564" s="11" t="n">
        <v>19</v>
      </c>
      <c r="G564" s="11" t="n">
        <v>3</v>
      </c>
      <c r="H564" s="13" t="n">
        <v>125</v>
      </c>
      <c r="I564" s="16" t="n">
        <v>0</v>
      </c>
      <c r="J564" s="13" t="n">
        <f aca="false">G564*H564</f>
        <v>375</v>
      </c>
      <c r="K564" s="13" t="n">
        <f aca="false">J564*(1-I564)</f>
        <v>375</v>
      </c>
    </row>
    <row r="565" customFormat="false" ht="15" hidden="false" customHeight="false" outlineLevel="0" collapsed="false">
      <c r="A565" s="11" t="n">
        <v>564</v>
      </c>
      <c r="B565" s="15" t="n">
        <v>45855</v>
      </c>
      <c r="C565" s="11" t="n">
        <v>1</v>
      </c>
      <c r="D565" s="11" t="n">
        <v>3</v>
      </c>
      <c r="E565" s="11" t="n">
        <v>22</v>
      </c>
      <c r="F565" s="11" t="n">
        <v>20</v>
      </c>
      <c r="G565" s="11" t="n">
        <v>3</v>
      </c>
      <c r="H565" s="13" t="n">
        <v>88</v>
      </c>
      <c r="I565" s="16" t="n">
        <v>0</v>
      </c>
      <c r="J565" s="13" t="n">
        <f aca="false">G565*H565</f>
        <v>264</v>
      </c>
      <c r="K565" s="13" t="n">
        <f aca="false">J565*(1-I565)</f>
        <v>264</v>
      </c>
    </row>
    <row r="566" customFormat="false" ht="15" hidden="false" customHeight="false" outlineLevel="0" collapsed="false">
      <c r="A566" s="11" t="n">
        <v>565</v>
      </c>
      <c r="B566" s="15" t="n">
        <v>45855</v>
      </c>
      <c r="C566" s="11" t="n">
        <v>3</v>
      </c>
      <c r="D566" s="11" t="n">
        <v>7</v>
      </c>
      <c r="E566" s="11" t="n">
        <v>49</v>
      </c>
      <c r="F566" s="11" t="n">
        <v>5</v>
      </c>
      <c r="G566" s="11" t="n">
        <v>3</v>
      </c>
      <c r="H566" s="13" t="n">
        <v>58</v>
      </c>
      <c r="I566" s="16" t="n">
        <v>0</v>
      </c>
      <c r="J566" s="13" t="n">
        <f aca="false">G566*H566</f>
        <v>174</v>
      </c>
      <c r="K566" s="13" t="n">
        <f aca="false">J566*(1-I566)</f>
        <v>174</v>
      </c>
    </row>
    <row r="567" customFormat="false" ht="15" hidden="false" customHeight="false" outlineLevel="0" collapsed="false">
      <c r="A567" s="11" t="n">
        <v>566</v>
      </c>
      <c r="B567" s="15" t="n">
        <v>45856</v>
      </c>
      <c r="C567" s="11" t="n">
        <v>5</v>
      </c>
      <c r="D567" s="11" t="n">
        <v>10</v>
      </c>
      <c r="E567" s="11" t="n">
        <v>29</v>
      </c>
      <c r="F567" s="11" t="n">
        <v>19</v>
      </c>
      <c r="G567" s="11" t="n">
        <v>2</v>
      </c>
      <c r="H567" s="13" t="n">
        <v>125</v>
      </c>
      <c r="I567" s="16" t="n">
        <v>0</v>
      </c>
      <c r="J567" s="13" t="n">
        <f aca="false">G567*H567</f>
        <v>250</v>
      </c>
      <c r="K567" s="13" t="n">
        <f aca="false">J567*(1-I567)</f>
        <v>250</v>
      </c>
    </row>
    <row r="568" customFormat="false" ht="15" hidden="false" customHeight="false" outlineLevel="0" collapsed="false">
      <c r="A568" s="11" t="n">
        <v>567</v>
      </c>
      <c r="B568" s="15" t="n">
        <v>45856</v>
      </c>
      <c r="C568" s="11" t="n">
        <v>3</v>
      </c>
      <c r="D568" s="11" t="n">
        <v>7</v>
      </c>
      <c r="E568" s="11" t="n">
        <v>53</v>
      </c>
      <c r="F568" s="11" t="n">
        <v>8</v>
      </c>
      <c r="G568" s="11" t="n">
        <v>1</v>
      </c>
      <c r="H568" s="13" t="n">
        <v>52</v>
      </c>
      <c r="I568" s="16" t="n">
        <v>0</v>
      </c>
      <c r="J568" s="13" t="n">
        <f aca="false">G568*H568</f>
        <v>52</v>
      </c>
      <c r="K568" s="13" t="n">
        <f aca="false">J568*(1-I568)</f>
        <v>52</v>
      </c>
    </row>
    <row r="569" customFormat="false" ht="15" hidden="false" customHeight="false" outlineLevel="0" collapsed="false">
      <c r="A569" s="11" t="n">
        <v>568</v>
      </c>
      <c r="B569" s="15" t="n">
        <v>45857</v>
      </c>
      <c r="C569" s="11" t="n">
        <v>1</v>
      </c>
      <c r="D569" s="11" t="n">
        <v>3</v>
      </c>
      <c r="E569" s="11" t="n">
        <v>44</v>
      </c>
      <c r="F569" s="11" t="n">
        <v>8</v>
      </c>
      <c r="G569" s="11" t="n">
        <v>3</v>
      </c>
      <c r="H569" s="13" t="n">
        <v>52</v>
      </c>
      <c r="I569" s="16" t="n">
        <v>0</v>
      </c>
      <c r="J569" s="13" t="n">
        <f aca="false">G569*H569</f>
        <v>156</v>
      </c>
      <c r="K569" s="13" t="n">
        <f aca="false">J569*(1-I569)</f>
        <v>156</v>
      </c>
    </row>
    <row r="570" customFormat="false" ht="15" hidden="false" customHeight="false" outlineLevel="0" collapsed="false">
      <c r="A570" s="11" t="n">
        <v>569</v>
      </c>
      <c r="B570" s="15" t="n">
        <v>45857</v>
      </c>
      <c r="C570" s="11" t="n">
        <v>1</v>
      </c>
      <c r="D570" s="11" t="n">
        <v>2</v>
      </c>
      <c r="E570" s="11" t="n">
        <v>21</v>
      </c>
      <c r="F570" s="11" t="n">
        <v>15</v>
      </c>
      <c r="G570" s="11" t="n">
        <v>1</v>
      </c>
      <c r="H570" s="13" t="n">
        <v>65</v>
      </c>
      <c r="I570" s="16" t="n">
        <v>0.05</v>
      </c>
      <c r="J570" s="13" t="n">
        <f aca="false">G570*H570</f>
        <v>65</v>
      </c>
      <c r="K570" s="13" t="n">
        <f aca="false">J570*(1-I570)</f>
        <v>61.75</v>
      </c>
    </row>
    <row r="571" customFormat="false" ht="15" hidden="false" customHeight="false" outlineLevel="0" collapsed="false">
      <c r="A571" s="11" t="n">
        <v>570</v>
      </c>
      <c r="B571" s="15" t="n">
        <v>45857</v>
      </c>
      <c r="C571" s="11" t="n">
        <v>4</v>
      </c>
      <c r="D571" s="11" t="n">
        <v>9</v>
      </c>
      <c r="E571" s="11" t="n">
        <v>36</v>
      </c>
      <c r="F571" s="11" t="n">
        <v>18</v>
      </c>
      <c r="G571" s="11" t="n">
        <v>1</v>
      </c>
      <c r="H571" s="13" t="n">
        <v>95</v>
      </c>
      <c r="I571" s="16" t="n">
        <v>0</v>
      </c>
      <c r="J571" s="13" t="n">
        <f aca="false">G571*H571</f>
        <v>95</v>
      </c>
      <c r="K571" s="13" t="n">
        <f aca="false">J571*(1-I571)</f>
        <v>95</v>
      </c>
    </row>
    <row r="572" customFormat="false" ht="15" hidden="false" customHeight="false" outlineLevel="0" collapsed="false">
      <c r="A572" s="11" t="n">
        <v>571</v>
      </c>
      <c r="B572" s="15" t="n">
        <v>45857</v>
      </c>
      <c r="C572" s="11" t="n">
        <v>1</v>
      </c>
      <c r="D572" s="11" t="n">
        <v>1</v>
      </c>
      <c r="E572" s="11" t="n">
        <v>19</v>
      </c>
      <c r="F572" s="11" t="n">
        <v>15</v>
      </c>
      <c r="G572" s="11" t="n">
        <v>1</v>
      </c>
      <c r="H572" s="13" t="n">
        <v>65</v>
      </c>
      <c r="I572" s="16" t="n">
        <v>0.05</v>
      </c>
      <c r="J572" s="13" t="n">
        <f aca="false">G572*H572</f>
        <v>65</v>
      </c>
      <c r="K572" s="13" t="n">
        <f aca="false">J572*(1-I572)</f>
        <v>61.75</v>
      </c>
    </row>
    <row r="573" customFormat="false" ht="15" hidden="false" customHeight="false" outlineLevel="0" collapsed="false">
      <c r="A573" s="11" t="n">
        <v>572</v>
      </c>
      <c r="B573" s="15" t="n">
        <v>45857</v>
      </c>
      <c r="C573" s="11" t="n">
        <v>1</v>
      </c>
      <c r="D573" s="11" t="n">
        <v>2</v>
      </c>
      <c r="E573" s="11" t="n">
        <v>5</v>
      </c>
      <c r="F573" s="11" t="n">
        <v>18</v>
      </c>
      <c r="G573" s="11" t="n">
        <v>1</v>
      </c>
      <c r="H573" s="13" t="n">
        <v>95</v>
      </c>
      <c r="I573" s="16" t="n">
        <v>0.05</v>
      </c>
      <c r="J573" s="13" t="n">
        <f aca="false">G573*H573</f>
        <v>95</v>
      </c>
      <c r="K573" s="13" t="n">
        <f aca="false">J573*(1-I573)</f>
        <v>90.25</v>
      </c>
    </row>
    <row r="574" customFormat="false" ht="15" hidden="false" customHeight="false" outlineLevel="0" collapsed="false">
      <c r="A574" s="11" t="n">
        <v>573</v>
      </c>
      <c r="B574" s="15" t="n">
        <v>45858</v>
      </c>
      <c r="C574" s="11" t="n">
        <v>4</v>
      </c>
      <c r="D574" s="11" t="n">
        <v>8</v>
      </c>
      <c r="E574" s="11" t="n">
        <v>37</v>
      </c>
      <c r="F574" s="11" t="n">
        <v>19</v>
      </c>
      <c r="G574" s="11" t="n">
        <v>1</v>
      </c>
      <c r="H574" s="13" t="n">
        <v>125</v>
      </c>
      <c r="I574" s="16" t="n">
        <v>0</v>
      </c>
      <c r="J574" s="13" t="n">
        <f aca="false">G574*H574</f>
        <v>125</v>
      </c>
      <c r="K574" s="13" t="n">
        <f aca="false">J574*(1-I574)</f>
        <v>125</v>
      </c>
    </row>
    <row r="575" customFormat="false" ht="15" hidden="false" customHeight="false" outlineLevel="0" collapsed="false">
      <c r="A575" s="11" t="n">
        <v>574</v>
      </c>
      <c r="B575" s="15" t="n">
        <v>45859</v>
      </c>
      <c r="C575" s="11" t="n">
        <v>5</v>
      </c>
      <c r="D575" s="11" t="n">
        <v>10</v>
      </c>
      <c r="E575" s="11" t="n">
        <v>16</v>
      </c>
      <c r="F575" s="11" t="n">
        <v>12</v>
      </c>
      <c r="G575" s="11" t="n">
        <v>1</v>
      </c>
      <c r="H575" s="13" t="n">
        <v>45</v>
      </c>
      <c r="I575" s="16" t="n">
        <v>0</v>
      </c>
      <c r="J575" s="13" t="n">
        <f aca="false">G575*H575</f>
        <v>45</v>
      </c>
      <c r="K575" s="13" t="n">
        <f aca="false">J575*(1-I575)</f>
        <v>45</v>
      </c>
    </row>
    <row r="576" customFormat="false" ht="15" hidden="false" customHeight="false" outlineLevel="0" collapsed="false">
      <c r="A576" s="11" t="n">
        <v>575</v>
      </c>
      <c r="B576" s="15" t="n">
        <v>45859</v>
      </c>
      <c r="C576" s="11" t="n">
        <v>5</v>
      </c>
      <c r="D576" s="11" t="n">
        <v>10</v>
      </c>
      <c r="E576" s="11" t="n">
        <v>11</v>
      </c>
      <c r="F576" s="11" t="n">
        <v>9</v>
      </c>
      <c r="G576" s="11" t="n">
        <v>1</v>
      </c>
      <c r="H576" s="13" t="n">
        <v>40</v>
      </c>
      <c r="I576" s="16" t="n">
        <v>0</v>
      </c>
      <c r="J576" s="13" t="n">
        <f aca="false">G576*H576</f>
        <v>40</v>
      </c>
      <c r="K576" s="13" t="n">
        <f aca="false">J576*(1-I576)</f>
        <v>40</v>
      </c>
    </row>
    <row r="577" customFormat="false" ht="15" hidden="false" customHeight="false" outlineLevel="0" collapsed="false">
      <c r="A577" s="11" t="n">
        <v>576</v>
      </c>
      <c r="B577" s="15" t="n">
        <v>45860</v>
      </c>
      <c r="C577" s="11" t="n">
        <v>4</v>
      </c>
      <c r="D577" s="11" t="n">
        <v>9</v>
      </c>
      <c r="E577" s="11" t="n">
        <v>38</v>
      </c>
      <c r="F577" s="11" t="n">
        <v>13</v>
      </c>
      <c r="G577" s="11" t="n">
        <v>3</v>
      </c>
      <c r="H577" s="13" t="n">
        <v>32</v>
      </c>
      <c r="I577" s="16" t="n">
        <v>0.1</v>
      </c>
      <c r="J577" s="13" t="n">
        <f aca="false">G577*H577</f>
        <v>96</v>
      </c>
      <c r="K577" s="13" t="n">
        <f aca="false">J577*(1-I577)</f>
        <v>86.4</v>
      </c>
    </row>
    <row r="578" customFormat="false" ht="15" hidden="false" customHeight="false" outlineLevel="0" collapsed="false">
      <c r="A578" s="11" t="n">
        <v>577</v>
      </c>
      <c r="B578" s="15" t="n">
        <v>45860</v>
      </c>
      <c r="C578" s="11" t="n">
        <v>4</v>
      </c>
      <c r="D578" s="11" t="n">
        <v>9</v>
      </c>
      <c r="E578" s="11" t="n">
        <v>30</v>
      </c>
      <c r="F578" s="11" t="n">
        <v>10</v>
      </c>
      <c r="G578" s="11" t="n">
        <v>2</v>
      </c>
      <c r="H578" s="13" t="n">
        <v>70</v>
      </c>
      <c r="I578" s="16" t="n">
        <v>0.05</v>
      </c>
      <c r="J578" s="13" t="n">
        <f aca="false">G578*H578</f>
        <v>140</v>
      </c>
      <c r="K578" s="13" t="n">
        <f aca="false">J578*(1-I578)</f>
        <v>133</v>
      </c>
    </row>
    <row r="579" customFormat="false" ht="15" hidden="false" customHeight="false" outlineLevel="0" collapsed="false">
      <c r="A579" s="11" t="n">
        <v>578</v>
      </c>
      <c r="B579" s="15" t="n">
        <v>45860</v>
      </c>
      <c r="C579" s="11" t="n">
        <v>5</v>
      </c>
      <c r="D579" s="11" t="n">
        <v>10</v>
      </c>
      <c r="E579" s="11" t="n">
        <v>2</v>
      </c>
      <c r="F579" s="11" t="n">
        <v>19</v>
      </c>
      <c r="G579" s="11" t="n">
        <v>2</v>
      </c>
      <c r="H579" s="13" t="n">
        <v>125</v>
      </c>
      <c r="I579" s="16" t="n">
        <v>0</v>
      </c>
      <c r="J579" s="13" t="n">
        <f aca="false">G579*H579</f>
        <v>250</v>
      </c>
      <c r="K579" s="13" t="n">
        <f aca="false">J579*(1-I579)</f>
        <v>250</v>
      </c>
    </row>
    <row r="580" customFormat="false" ht="15" hidden="false" customHeight="false" outlineLevel="0" collapsed="false">
      <c r="A580" s="11" t="n">
        <v>579</v>
      </c>
      <c r="B580" s="15" t="n">
        <v>45861</v>
      </c>
      <c r="C580" s="11" t="n">
        <v>1</v>
      </c>
      <c r="D580" s="11" t="n">
        <v>1</v>
      </c>
      <c r="E580" s="11" t="n">
        <v>31</v>
      </c>
      <c r="F580" s="11" t="n">
        <v>18</v>
      </c>
      <c r="G580" s="11" t="n">
        <v>1</v>
      </c>
      <c r="H580" s="13" t="n">
        <v>95</v>
      </c>
      <c r="I580" s="16" t="n">
        <v>0</v>
      </c>
      <c r="J580" s="13" t="n">
        <f aca="false">G580*H580</f>
        <v>95</v>
      </c>
      <c r="K580" s="13" t="n">
        <f aca="false">J580*(1-I580)</f>
        <v>95</v>
      </c>
    </row>
    <row r="581" customFormat="false" ht="15" hidden="false" customHeight="false" outlineLevel="0" collapsed="false">
      <c r="A581" s="11" t="n">
        <v>580</v>
      </c>
      <c r="B581" s="15" t="n">
        <v>45862</v>
      </c>
      <c r="C581" s="11" t="n">
        <v>4</v>
      </c>
      <c r="D581" s="11" t="n">
        <v>9</v>
      </c>
      <c r="E581" s="11" t="n">
        <v>36</v>
      </c>
      <c r="F581" s="11" t="n">
        <v>17</v>
      </c>
      <c r="G581" s="11" t="n">
        <v>1</v>
      </c>
      <c r="H581" s="13" t="n">
        <v>28</v>
      </c>
      <c r="I581" s="16" t="n">
        <v>0</v>
      </c>
      <c r="J581" s="13" t="n">
        <f aca="false">G581*H581</f>
        <v>28</v>
      </c>
      <c r="K581" s="13" t="n">
        <f aca="false">J581*(1-I581)</f>
        <v>28</v>
      </c>
    </row>
    <row r="582" customFormat="false" ht="15" hidden="false" customHeight="false" outlineLevel="0" collapsed="false">
      <c r="A582" s="11" t="n">
        <v>581</v>
      </c>
      <c r="B582" s="15" t="n">
        <v>45862</v>
      </c>
      <c r="C582" s="11" t="n">
        <v>3</v>
      </c>
      <c r="D582" s="11" t="n">
        <v>6</v>
      </c>
      <c r="E582" s="11" t="n">
        <v>30</v>
      </c>
      <c r="F582" s="11" t="n">
        <v>4</v>
      </c>
      <c r="G582" s="11" t="n">
        <v>3</v>
      </c>
      <c r="H582" s="13" t="n">
        <v>55</v>
      </c>
      <c r="I582" s="16" t="n">
        <v>0</v>
      </c>
      <c r="J582" s="13" t="n">
        <f aca="false">G582*H582</f>
        <v>165</v>
      </c>
      <c r="K582" s="13" t="n">
        <f aca="false">J582*(1-I582)</f>
        <v>165</v>
      </c>
    </row>
    <row r="583" customFormat="false" ht="15" hidden="false" customHeight="false" outlineLevel="0" collapsed="false">
      <c r="A583" s="11" t="n">
        <v>582</v>
      </c>
      <c r="B583" s="15" t="n">
        <v>45862</v>
      </c>
      <c r="C583" s="11" t="n">
        <v>2</v>
      </c>
      <c r="D583" s="11" t="n">
        <v>4</v>
      </c>
      <c r="E583" s="11" t="n">
        <v>25</v>
      </c>
      <c r="F583" s="11" t="n">
        <v>20</v>
      </c>
      <c r="G583" s="11" t="n">
        <v>1</v>
      </c>
      <c r="H583" s="13" t="n">
        <v>88</v>
      </c>
      <c r="I583" s="16" t="n">
        <v>0</v>
      </c>
      <c r="J583" s="13" t="n">
        <f aca="false">G583*H583</f>
        <v>88</v>
      </c>
      <c r="K583" s="13" t="n">
        <f aca="false">J583*(1-I583)</f>
        <v>88</v>
      </c>
    </row>
    <row r="584" customFormat="false" ht="15" hidden="false" customHeight="false" outlineLevel="0" collapsed="false">
      <c r="A584" s="11" t="n">
        <v>583</v>
      </c>
      <c r="B584" s="15" t="n">
        <v>45863</v>
      </c>
      <c r="C584" s="11" t="n">
        <v>2</v>
      </c>
      <c r="D584" s="11" t="n">
        <v>4</v>
      </c>
      <c r="E584" s="11" t="n">
        <v>29</v>
      </c>
      <c r="F584" s="11" t="n">
        <v>17</v>
      </c>
      <c r="G584" s="11" t="n">
        <v>1</v>
      </c>
      <c r="H584" s="13" t="n">
        <v>28</v>
      </c>
      <c r="I584" s="16" t="n">
        <v>0</v>
      </c>
      <c r="J584" s="13" t="n">
        <f aca="false">G584*H584</f>
        <v>28</v>
      </c>
      <c r="K584" s="13" t="n">
        <f aca="false">J584*(1-I584)</f>
        <v>28</v>
      </c>
    </row>
    <row r="585" customFormat="false" ht="15" hidden="false" customHeight="false" outlineLevel="0" collapsed="false">
      <c r="A585" s="11" t="n">
        <v>584</v>
      </c>
      <c r="B585" s="15" t="n">
        <v>45863</v>
      </c>
      <c r="C585" s="11" t="n">
        <v>4</v>
      </c>
      <c r="D585" s="11" t="n">
        <v>8</v>
      </c>
      <c r="E585" s="11" t="n">
        <v>55</v>
      </c>
      <c r="F585" s="11" t="n">
        <v>20</v>
      </c>
      <c r="G585" s="11" t="n">
        <v>2</v>
      </c>
      <c r="H585" s="13" t="n">
        <v>88</v>
      </c>
      <c r="I585" s="16" t="n">
        <v>0</v>
      </c>
      <c r="J585" s="13" t="n">
        <f aca="false">G585*H585</f>
        <v>176</v>
      </c>
      <c r="K585" s="13" t="n">
        <f aca="false">J585*(1-I585)</f>
        <v>176</v>
      </c>
    </row>
    <row r="586" customFormat="false" ht="15" hidden="false" customHeight="false" outlineLevel="0" collapsed="false">
      <c r="A586" s="11" t="n">
        <v>585</v>
      </c>
      <c r="B586" s="15" t="n">
        <v>45863</v>
      </c>
      <c r="C586" s="11" t="n">
        <v>3</v>
      </c>
      <c r="D586" s="11" t="n">
        <v>6</v>
      </c>
      <c r="E586" s="11" t="n">
        <v>18</v>
      </c>
      <c r="F586" s="11" t="n">
        <v>2</v>
      </c>
      <c r="G586" s="11" t="n">
        <v>1</v>
      </c>
      <c r="H586" s="13" t="n">
        <v>45</v>
      </c>
      <c r="I586" s="16" t="n">
        <v>0</v>
      </c>
      <c r="J586" s="13" t="n">
        <f aca="false">G586*H586</f>
        <v>45</v>
      </c>
      <c r="K586" s="13" t="n">
        <f aca="false">J586*(1-I586)</f>
        <v>45</v>
      </c>
    </row>
    <row r="587" customFormat="false" ht="15" hidden="false" customHeight="false" outlineLevel="0" collapsed="false">
      <c r="A587" s="11" t="n">
        <v>586</v>
      </c>
      <c r="B587" s="15" t="n">
        <v>45863</v>
      </c>
      <c r="C587" s="11" t="n">
        <v>5</v>
      </c>
      <c r="D587" s="11" t="n">
        <v>10</v>
      </c>
      <c r="E587" s="11" t="n">
        <v>52</v>
      </c>
      <c r="F587" s="11" t="n">
        <v>13</v>
      </c>
      <c r="G587" s="11" t="n">
        <v>1</v>
      </c>
      <c r="H587" s="13" t="n">
        <v>32</v>
      </c>
      <c r="I587" s="16" t="n">
        <v>0</v>
      </c>
      <c r="J587" s="13" t="n">
        <f aca="false">G587*H587</f>
        <v>32</v>
      </c>
      <c r="K587" s="13" t="n">
        <f aca="false">J587*(1-I587)</f>
        <v>32</v>
      </c>
    </row>
    <row r="588" customFormat="false" ht="15" hidden="false" customHeight="false" outlineLevel="0" collapsed="false">
      <c r="A588" s="11" t="n">
        <v>587</v>
      </c>
      <c r="B588" s="15" t="n">
        <v>45864</v>
      </c>
      <c r="C588" s="11" t="n">
        <v>1</v>
      </c>
      <c r="D588" s="11" t="n">
        <v>2</v>
      </c>
      <c r="E588" s="11" t="n">
        <v>15</v>
      </c>
      <c r="F588" s="11" t="n">
        <v>13</v>
      </c>
      <c r="G588" s="11" t="n">
        <v>2</v>
      </c>
      <c r="H588" s="13" t="n">
        <v>32</v>
      </c>
      <c r="I588" s="16" t="n">
        <v>0</v>
      </c>
      <c r="J588" s="13" t="n">
        <f aca="false">G588*H588</f>
        <v>64</v>
      </c>
      <c r="K588" s="13" t="n">
        <f aca="false">J588*(1-I588)</f>
        <v>64</v>
      </c>
    </row>
    <row r="589" customFormat="false" ht="15" hidden="false" customHeight="false" outlineLevel="0" collapsed="false">
      <c r="A589" s="11" t="n">
        <v>588</v>
      </c>
      <c r="B589" s="15" t="n">
        <v>45864</v>
      </c>
      <c r="C589" s="11" t="n">
        <v>5</v>
      </c>
      <c r="D589" s="11" t="n">
        <v>10</v>
      </c>
      <c r="E589" s="11" t="n">
        <v>19</v>
      </c>
      <c r="F589" s="11" t="n">
        <v>18</v>
      </c>
      <c r="G589" s="11" t="n">
        <v>3</v>
      </c>
      <c r="H589" s="13" t="n">
        <v>95</v>
      </c>
      <c r="I589" s="16" t="n">
        <v>0</v>
      </c>
      <c r="J589" s="13" t="n">
        <f aca="false">G589*H589</f>
        <v>285</v>
      </c>
      <c r="K589" s="13" t="n">
        <f aca="false">J589*(1-I589)</f>
        <v>285</v>
      </c>
    </row>
    <row r="590" customFormat="false" ht="15" hidden="false" customHeight="false" outlineLevel="0" collapsed="false">
      <c r="A590" s="11" t="n">
        <v>589</v>
      </c>
      <c r="B590" s="15" t="n">
        <v>45864</v>
      </c>
      <c r="C590" s="11" t="n">
        <v>1</v>
      </c>
      <c r="D590" s="11" t="n">
        <v>3</v>
      </c>
      <c r="E590" s="11" t="n">
        <v>15</v>
      </c>
      <c r="F590" s="11" t="n">
        <v>10</v>
      </c>
      <c r="G590" s="11" t="n">
        <v>5</v>
      </c>
      <c r="H590" s="13" t="n">
        <v>70</v>
      </c>
      <c r="I590" s="16" t="n">
        <v>0</v>
      </c>
      <c r="J590" s="13" t="n">
        <f aca="false">G590*H590</f>
        <v>350</v>
      </c>
      <c r="K590" s="13" t="n">
        <f aca="false">J590*(1-I590)</f>
        <v>350</v>
      </c>
    </row>
    <row r="591" customFormat="false" ht="15" hidden="false" customHeight="false" outlineLevel="0" collapsed="false">
      <c r="A591" s="11" t="n">
        <v>590</v>
      </c>
      <c r="B591" s="15" t="n">
        <v>45864</v>
      </c>
      <c r="C591" s="11" t="n">
        <v>1</v>
      </c>
      <c r="D591" s="11" t="n">
        <v>1</v>
      </c>
      <c r="E591" s="11" t="n">
        <v>14</v>
      </c>
      <c r="F591" s="11" t="n">
        <v>6</v>
      </c>
      <c r="G591" s="11" t="n">
        <v>1</v>
      </c>
      <c r="H591" s="13" t="n">
        <v>62</v>
      </c>
      <c r="I591" s="16" t="n">
        <v>0.15</v>
      </c>
      <c r="J591" s="13" t="n">
        <f aca="false">G591*H591</f>
        <v>62</v>
      </c>
      <c r="K591" s="13" t="n">
        <f aca="false">J591*(1-I591)</f>
        <v>52.7</v>
      </c>
    </row>
    <row r="592" customFormat="false" ht="15" hidden="false" customHeight="false" outlineLevel="0" collapsed="false">
      <c r="A592" s="11" t="n">
        <v>591</v>
      </c>
      <c r="B592" s="15" t="n">
        <v>45864</v>
      </c>
      <c r="C592" s="11" t="n">
        <v>1</v>
      </c>
      <c r="D592" s="11" t="n">
        <v>2</v>
      </c>
      <c r="E592" s="11" t="n">
        <v>8</v>
      </c>
      <c r="F592" s="11" t="n">
        <v>20</v>
      </c>
      <c r="G592" s="11" t="n">
        <v>1</v>
      </c>
      <c r="H592" s="13" t="n">
        <v>88</v>
      </c>
      <c r="I592" s="16" t="n">
        <v>0</v>
      </c>
      <c r="J592" s="13" t="n">
        <f aca="false">G592*H592</f>
        <v>88</v>
      </c>
      <c r="K592" s="13" t="n">
        <f aca="false">J592*(1-I592)</f>
        <v>88</v>
      </c>
    </row>
    <row r="593" customFormat="false" ht="15" hidden="false" customHeight="false" outlineLevel="0" collapsed="false">
      <c r="A593" s="11" t="n">
        <v>592</v>
      </c>
      <c r="B593" s="15" t="n">
        <v>45865</v>
      </c>
      <c r="C593" s="11" t="n">
        <v>4</v>
      </c>
      <c r="D593" s="11" t="n">
        <v>8</v>
      </c>
      <c r="E593" s="11" t="n">
        <v>51</v>
      </c>
      <c r="F593" s="11" t="n">
        <v>20</v>
      </c>
      <c r="G593" s="11" t="n">
        <v>2</v>
      </c>
      <c r="H593" s="13" t="n">
        <v>88</v>
      </c>
      <c r="I593" s="16" t="n">
        <v>0.05</v>
      </c>
      <c r="J593" s="13" t="n">
        <f aca="false">G593*H593</f>
        <v>176</v>
      </c>
      <c r="K593" s="13" t="n">
        <f aca="false">J593*(1-I593)</f>
        <v>167.2</v>
      </c>
    </row>
    <row r="594" customFormat="false" ht="15" hidden="false" customHeight="false" outlineLevel="0" collapsed="false">
      <c r="A594" s="11" t="n">
        <v>593</v>
      </c>
      <c r="B594" s="15" t="n">
        <v>45866</v>
      </c>
      <c r="C594" s="11" t="n">
        <v>5</v>
      </c>
      <c r="D594" s="11" t="n">
        <v>10</v>
      </c>
      <c r="E594" s="11" t="n">
        <v>59</v>
      </c>
      <c r="F594" s="11" t="n">
        <v>1</v>
      </c>
      <c r="G594" s="11" t="n">
        <v>1</v>
      </c>
      <c r="H594" s="13" t="n">
        <v>35</v>
      </c>
      <c r="I594" s="16" t="n">
        <v>0</v>
      </c>
      <c r="J594" s="13" t="n">
        <f aca="false">G594*H594</f>
        <v>35</v>
      </c>
      <c r="K594" s="13" t="n">
        <f aca="false">J594*(1-I594)</f>
        <v>35</v>
      </c>
    </row>
    <row r="595" customFormat="false" ht="15" hidden="false" customHeight="false" outlineLevel="0" collapsed="false">
      <c r="A595" s="11" t="n">
        <v>594</v>
      </c>
      <c r="B595" s="15" t="n">
        <v>45866</v>
      </c>
      <c r="C595" s="11" t="n">
        <v>1</v>
      </c>
      <c r="D595" s="11" t="n">
        <v>1</v>
      </c>
      <c r="E595" s="11" t="n">
        <v>26</v>
      </c>
      <c r="F595" s="11" t="n">
        <v>9</v>
      </c>
      <c r="G595" s="11" t="n">
        <v>1</v>
      </c>
      <c r="H595" s="13" t="n">
        <v>40</v>
      </c>
      <c r="I595" s="16" t="n">
        <v>0.15</v>
      </c>
      <c r="J595" s="13" t="n">
        <f aca="false">G595*H595</f>
        <v>40</v>
      </c>
      <c r="K595" s="13" t="n">
        <f aca="false">J595*(1-I595)</f>
        <v>34</v>
      </c>
    </row>
    <row r="596" customFormat="false" ht="15" hidden="false" customHeight="false" outlineLevel="0" collapsed="false">
      <c r="A596" s="11" t="n">
        <v>595</v>
      </c>
      <c r="B596" s="15" t="n">
        <v>45866</v>
      </c>
      <c r="C596" s="11" t="n">
        <v>2</v>
      </c>
      <c r="D596" s="11" t="n">
        <v>5</v>
      </c>
      <c r="E596" s="11" t="n">
        <v>18</v>
      </c>
      <c r="F596" s="11" t="n">
        <v>1</v>
      </c>
      <c r="G596" s="11" t="n">
        <v>2</v>
      </c>
      <c r="H596" s="13" t="n">
        <v>35</v>
      </c>
      <c r="I596" s="16" t="n">
        <v>0</v>
      </c>
      <c r="J596" s="13" t="n">
        <f aca="false">G596*H596</f>
        <v>70</v>
      </c>
      <c r="K596" s="13" t="n">
        <f aca="false">J596*(1-I596)</f>
        <v>70</v>
      </c>
    </row>
    <row r="597" customFormat="false" ht="15" hidden="false" customHeight="false" outlineLevel="0" collapsed="false">
      <c r="A597" s="11" t="n">
        <v>596</v>
      </c>
      <c r="B597" s="15" t="n">
        <v>45866</v>
      </c>
      <c r="C597" s="11" t="n">
        <v>3</v>
      </c>
      <c r="D597" s="11" t="n">
        <v>7</v>
      </c>
      <c r="E597" s="11" t="n">
        <v>2</v>
      </c>
      <c r="F597" s="11" t="n">
        <v>15</v>
      </c>
      <c r="G597" s="11" t="n">
        <v>1</v>
      </c>
      <c r="H597" s="13" t="n">
        <v>65</v>
      </c>
      <c r="I597" s="16" t="n">
        <v>0</v>
      </c>
      <c r="J597" s="13" t="n">
        <f aca="false">G597*H597</f>
        <v>65</v>
      </c>
      <c r="K597" s="13" t="n">
        <f aca="false">J597*(1-I597)</f>
        <v>65</v>
      </c>
    </row>
    <row r="598" customFormat="false" ht="15" hidden="false" customHeight="false" outlineLevel="0" collapsed="false">
      <c r="A598" s="11" t="n">
        <v>597</v>
      </c>
      <c r="B598" s="15" t="n">
        <v>45867</v>
      </c>
      <c r="C598" s="11" t="n">
        <v>5</v>
      </c>
      <c r="D598" s="11" t="n">
        <v>10</v>
      </c>
      <c r="E598" s="11" t="n">
        <v>43</v>
      </c>
      <c r="F598" s="11" t="n">
        <v>3</v>
      </c>
      <c r="G598" s="11" t="n">
        <v>1</v>
      </c>
      <c r="H598" s="13" t="n">
        <v>38</v>
      </c>
      <c r="I598" s="16" t="n">
        <v>0</v>
      </c>
      <c r="J598" s="13" t="n">
        <f aca="false">G598*H598</f>
        <v>38</v>
      </c>
      <c r="K598" s="13" t="n">
        <f aca="false">J598*(1-I598)</f>
        <v>38</v>
      </c>
    </row>
    <row r="599" customFormat="false" ht="15" hidden="false" customHeight="false" outlineLevel="0" collapsed="false">
      <c r="A599" s="11" t="n">
        <v>598</v>
      </c>
      <c r="B599" s="15" t="n">
        <v>45867</v>
      </c>
      <c r="C599" s="11" t="n">
        <v>4</v>
      </c>
      <c r="D599" s="11" t="n">
        <v>9</v>
      </c>
      <c r="E599" s="11" t="n">
        <v>52</v>
      </c>
      <c r="F599" s="11" t="n">
        <v>2</v>
      </c>
      <c r="G599" s="11" t="n">
        <v>1</v>
      </c>
      <c r="H599" s="13" t="n">
        <v>45</v>
      </c>
      <c r="I599" s="16" t="n">
        <v>0</v>
      </c>
      <c r="J599" s="13" t="n">
        <f aca="false">G599*H599</f>
        <v>45</v>
      </c>
      <c r="K599" s="13" t="n">
        <f aca="false">J599*(1-I599)</f>
        <v>45</v>
      </c>
    </row>
    <row r="600" customFormat="false" ht="15" hidden="false" customHeight="false" outlineLevel="0" collapsed="false">
      <c r="A600" s="11" t="n">
        <v>599</v>
      </c>
      <c r="B600" s="15" t="n">
        <v>45867</v>
      </c>
      <c r="C600" s="11" t="n">
        <v>2</v>
      </c>
      <c r="D600" s="11" t="n">
        <v>5</v>
      </c>
      <c r="E600" s="11" t="n">
        <v>37</v>
      </c>
      <c r="F600" s="11" t="n">
        <v>20</v>
      </c>
      <c r="G600" s="11" t="n">
        <v>1</v>
      </c>
      <c r="H600" s="13" t="n">
        <v>88</v>
      </c>
      <c r="I600" s="16" t="n">
        <v>0</v>
      </c>
      <c r="J600" s="13" t="n">
        <f aca="false">G600*H600</f>
        <v>88</v>
      </c>
      <c r="K600" s="13" t="n">
        <f aca="false">J600*(1-I600)</f>
        <v>88</v>
      </c>
    </row>
    <row r="601" customFormat="false" ht="15" hidden="false" customHeight="false" outlineLevel="0" collapsed="false">
      <c r="A601" s="11" t="n">
        <v>600</v>
      </c>
      <c r="B601" s="15" t="n">
        <v>45867</v>
      </c>
      <c r="C601" s="11" t="n">
        <v>2</v>
      </c>
      <c r="D601" s="11" t="n">
        <v>5</v>
      </c>
      <c r="E601" s="11" t="n">
        <v>27</v>
      </c>
      <c r="F601" s="11" t="n">
        <v>12</v>
      </c>
      <c r="G601" s="11" t="n">
        <v>2</v>
      </c>
      <c r="H601" s="13" t="n">
        <v>45</v>
      </c>
      <c r="I601" s="16" t="n">
        <v>0</v>
      </c>
      <c r="J601" s="13" t="n">
        <f aca="false">G601*H601</f>
        <v>90</v>
      </c>
      <c r="K601" s="13" t="n">
        <f aca="false">J601*(1-I601)</f>
        <v>90</v>
      </c>
    </row>
    <row r="602" customFormat="false" ht="15" hidden="false" customHeight="false" outlineLevel="0" collapsed="false">
      <c r="A602" s="11" t="n">
        <v>601</v>
      </c>
      <c r="B602" s="15" t="n">
        <v>45867</v>
      </c>
      <c r="C602" s="11" t="n">
        <v>4</v>
      </c>
      <c r="D602" s="11" t="n">
        <v>8</v>
      </c>
      <c r="E602" s="11" t="n">
        <v>60</v>
      </c>
      <c r="F602" s="11" t="n">
        <v>18</v>
      </c>
      <c r="G602" s="11" t="n">
        <v>2</v>
      </c>
      <c r="H602" s="13" t="n">
        <v>95</v>
      </c>
      <c r="I602" s="16" t="n">
        <v>0</v>
      </c>
      <c r="J602" s="13" t="n">
        <f aca="false">G602*H602</f>
        <v>190</v>
      </c>
      <c r="K602" s="13" t="n">
        <f aca="false">J602*(1-I602)</f>
        <v>190</v>
      </c>
    </row>
    <row r="603" customFormat="false" ht="15" hidden="false" customHeight="false" outlineLevel="0" collapsed="false">
      <c r="A603" s="11" t="n">
        <v>602</v>
      </c>
      <c r="B603" s="15" t="n">
        <v>45868</v>
      </c>
      <c r="C603" s="11" t="n">
        <v>4</v>
      </c>
      <c r="D603" s="11" t="n">
        <v>9</v>
      </c>
      <c r="E603" s="11" t="n">
        <v>56</v>
      </c>
      <c r="F603" s="11" t="n">
        <v>11</v>
      </c>
      <c r="G603" s="11" t="n">
        <v>1</v>
      </c>
      <c r="H603" s="13" t="n">
        <v>72</v>
      </c>
      <c r="I603" s="16" t="n">
        <v>0</v>
      </c>
      <c r="J603" s="13" t="n">
        <f aca="false">G603*H603</f>
        <v>72</v>
      </c>
      <c r="K603" s="13" t="n">
        <f aca="false">J603*(1-I603)</f>
        <v>72</v>
      </c>
    </row>
    <row r="604" customFormat="false" ht="15" hidden="false" customHeight="false" outlineLevel="0" collapsed="false">
      <c r="A604" s="11" t="n">
        <v>603</v>
      </c>
      <c r="B604" s="15" t="n">
        <v>45868</v>
      </c>
      <c r="C604" s="11" t="n">
        <v>5</v>
      </c>
      <c r="D604" s="11" t="n">
        <v>10</v>
      </c>
      <c r="E604" s="11" t="n">
        <v>47</v>
      </c>
      <c r="F604" s="11" t="n">
        <v>5</v>
      </c>
      <c r="G604" s="11" t="n">
        <v>1</v>
      </c>
      <c r="H604" s="13" t="n">
        <v>58</v>
      </c>
      <c r="I604" s="16" t="n">
        <v>0</v>
      </c>
      <c r="J604" s="13" t="n">
        <f aca="false">G604*H604</f>
        <v>58</v>
      </c>
      <c r="K604" s="13" t="n">
        <f aca="false">J604*(1-I604)</f>
        <v>58</v>
      </c>
    </row>
    <row r="605" customFormat="false" ht="15" hidden="false" customHeight="false" outlineLevel="0" collapsed="false">
      <c r="A605" s="11" t="n">
        <v>604</v>
      </c>
      <c r="B605" s="15" t="n">
        <v>45868</v>
      </c>
      <c r="C605" s="11" t="n">
        <v>1</v>
      </c>
      <c r="D605" s="11" t="n">
        <v>2</v>
      </c>
      <c r="E605" s="11" t="n">
        <v>60</v>
      </c>
      <c r="F605" s="11" t="n">
        <v>9</v>
      </c>
      <c r="G605" s="11" t="n">
        <v>2</v>
      </c>
      <c r="H605" s="13" t="n">
        <v>40</v>
      </c>
      <c r="I605" s="16" t="n">
        <v>0</v>
      </c>
      <c r="J605" s="13" t="n">
        <f aca="false">G605*H605</f>
        <v>80</v>
      </c>
      <c r="K605" s="13" t="n">
        <f aca="false">J605*(1-I605)</f>
        <v>80</v>
      </c>
    </row>
    <row r="606" customFormat="false" ht="15" hidden="false" customHeight="false" outlineLevel="0" collapsed="false">
      <c r="A606" s="11" t="n">
        <v>605</v>
      </c>
      <c r="B606" s="15" t="n">
        <v>45868</v>
      </c>
      <c r="C606" s="11" t="n">
        <v>5</v>
      </c>
      <c r="D606" s="11" t="n">
        <v>10</v>
      </c>
      <c r="E606" s="11" t="n">
        <v>8</v>
      </c>
      <c r="F606" s="11" t="n">
        <v>8</v>
      </c>
      <c r="G606" s="11" t="n">
        <v>2</v>
      </c>
      <c r="H606" s="13" t="n">
        <v>52</v>
      </c>
      <c r="I606" s="16" t="n">
        <v>0</v>
      </c>
      <c r="J606" s="13" t="n">
        <f aca="false">G606*H606</f>
        <v>104</v>
      </c>
      <c r="K606" s="13" t="n">
        <f aca="false">J606*(1-I606)</f>
        <v>104</v>
      </c>
    </row>
    <row r="607" customFormat="false" ht="15" hidden="false" customHeight="false" outlineLevel="0" collapsed="false">
      <c r="A607" s="11" t="n">
        <v>606</v>
      </c>
      <c r="B607" s="15" t="n">
        <v>45868</v>
      </c>
      <c r="C607" s="11" t="n">
        <v>1</v>
      </c>
      <c r="D607" s="11" t="n">
        <v>1</v>
      </c>
      <c r="E607" s="11" t="n">
        <v>45</v>
      </c>
      <c r="F607" s="11" t="n">
        <v>8</v>
      </c>
      <c r="G607" s="11" t="n">
        <v>1</v>
      </c>
      <c r="H607" s="13" t="n">
        <v>52</v>
      </c>
      <c r="I607" s="16" t="n">
        <v>0</v>
      </c>
      <c r="J607" s="13" t="n">
        <f aca="false">G607*H607</f>
        <v>52</v>
      </c>
      <c r="K607" s="13" t="n">
        <f aca="false">J607*(1-I607)</f>
        <v>52</v>
      </c>
    </row>
    <row r="608" customFormat="false" ht="15" hidden="false" customHeight="false" outlineLevel="0" collapsed="false">
      <c r="A608" s="11" t="n">
        <v>607</v>
      </c>
      <c r="B608" s="15" t="n">
        <v>45869</v>
      </c>
      <c r="C608" s="11" t="n">
        <v>4</v>
      </c>
      <c r="D608" s="11" t="n">
        <v>9</v>
      </c>
      <c r="E608" s="11" t="n">
        <v>55</v>
      </c>
      <c r="F608" s="11" t="n">
        <v>6</v>
      </c>
      <c r="G608" s="11" t="n">
        <v>3</v>
      </c>
      <c r="H608" s="13" t="n">
        <v>62</v>
      </c>
      <c r="I608" s="16" t="n">
        <v>0.05</v>
      </c>
      <c r="J608" s="13" t="n">
        <f aca="false">G608*H608</f>
        <v>186</v>
      </c>
      <c r="K608" s="13" t="n">
        <f aca="false">J608*(1-I608)</f>
        <v>176.7</v>
      </c>
    </row>
    <row r="609" customFormat="false" ht="15" hidden="false" customHeight="false" outlineLevel="0" collapsed="false">
      <c r="A609" s="11" t="n">
        <v>608</v>
      </c>
      <c r="B609" s="15" t="n">
        <v>45869</v>
      </c>
      <c r="C609" s="11" t="n">
        <v>3</v>
      </c>
      <c r="D609" s="11" t="n">
        <v>6</v>
      </c>
      <c r="E609" s="11" t="n">
        <v>36</v>
      </c>
      <c r="F609" s="11" t="n">
        <v>14</v>
      </c>
      <c r="G609" s="11" t="n">
        <v>3</v>
      </c>
      <c r="H609" s="13" t="n">
        <v>38</v>
      </c>
      <c r="I609" s="16" t="n">
        <v>0</v>
      </c>
      <c r="J609" s="13" t="n">
        <f aca="false">G609*H609</f>
        <v>114</v>
      </c>
      <c r="K609" s="13" t="n">
        <f aca="false">J609*(1-I609)</f>
        <v>114</v>
      </c>
    </row>
    <row r="610" customFormat="false" ht="15" hidden="false" customHeight="false" outlineLevel="0" collapsed="false">
      <c r="A610" s="11" t="n">
        <v>609</v>
      </c>
      <c r="B610" s="15" t="n">
        <v>45869</v>
      </c>
      <c r="C610" s="11" t="n">
        <v>4</v>
      </c>
      <c r="D610" s="11" t="n">
        <v>8</v>
      </c>
      <c r="E610" s="11" t="n">
        <v>25</v>
      </c>
      <c r="F610" s="11" t="n">
        <v>13</v>
      </c>
      <c r="G610" s="11" t="n">
        <v>1</v>
      </c>
      <c r="H610" s="13" t="n">
        <v>32</v>
      </c>
      <c r="I610" s="16" t="n">
        <v>0</v>
      </c>
      <c r="J610" s="13" t="n">
        <f aca="false">G610*H610</f>
        <v>32</v>
      </c>
      <c r="K610" s="13" t="n">
        <f aca="false">J610*(1-I610)</f>
        <v>32</v>
      </c>
    </row>
    <row r="611" customFormat="false" ht="15" hidden="false" customHeight="false" outlineLevel="0" collapsed="false">
      <c r="A611" s="11" t="n">
        <v>610</v>
      </c>
      <c r="B611" s="15" t="n">
        <v>45869</v>
      </c>
      <c r="C611" s="11" t="n">
        <v>3</v>
      </c>
      <c r="D611" s="11" t="n">
        <v>7</v>
      </c>
      <c r="E611" s="11" t="n">
        <v>38</v>
      </c>
      <c r="F611" s="11" t="n">
        <v>13</v>
      </c>
      <c r="G611" s="11" t="n">
        <v>2</v>
      </c>
      <c r="H611" s="13" t="n">
        <v>32</v>
      </c>
      <c r="I611" s="16" t="n">
        <v>0</v>
      </c>
      <c r="J611" s="13" t="n">
        <f aca="false">G611*H611</f>
        <v>64</v>
      </c>
      <c r="K611" s="13" t="n">
        <f aca="false">J611*(1-I611)</f>
        <v>64</v>
      </c>
    </row>
    <row r="612" customFormat="false" ht="15" hidden="false" customHeight="false" outlineLevel="0" collapsed="false">
      <c r="A612" s="11" t="n">
        <v>611</v>
      </c>
      <c r="B612" s="15" t="n">
        <v>45869</v>
      </c>
      <c r="C612" s="11" t="n">
        <v>1</v>
      </c>
      <c r="D612" s="11" t="n">
        <v>3</v>
      </c>
      <c r="E612" s="11" t="n">
        <v>10</v>
      </c>
      <c r="F612" s="11" t="n">
        <v>7</v>
      </c>
      <c r="G612" s="11" t="n">
        <v>1</v>
      </c>
      <c r="H612" s="13" t="n">
        <v>50</v>
      </c>
      <c r="I612" s="16" t="n">
        <v>0</v>
      </c>
      <c r="J612" s="13" t="n">
        <f aca="false">G612*H612</f>
        <v>50</v>
      </c>
      <c r="K612" s="13" t="n">
        <f aca="false">J612*(1-I612)</f>
        <v>50</v>
      </c>
    </row>
    <row r="613" customFormat="false" ht="15" hidden="false" customHeight="false" outlineLevel="0" collapsed="false">
      <c r="A613" s="11" t="n">
        <v>612</v>
      </c>
      <c r="B613" s="15" t="n">
        <v>45870</v>
      </c>
      <c r="C613" s="11" t="n">
        <v>1</v>
      </c>
      <c r="D613" s="11" t="n">
        <v>1</v>
      </c>
      <c r="E613" s="11" t="n">
        <v>9</v>
      </c>
      <c r="F613" s="11" t="n">
        <v>14</v>
      </c>
      <c r="G613" s="11" t="n">
        <v>1</v>
      </c>
      <c r="H613" s="13" t="n">
        <v>38</v>
      </c>
      <c r="I613" s="16" t="n">
        <v>0</v>
      </c>
      <c r="J613" s="13" t="n">
        <f aca="false">G613*H613</f>
        <v>38</v>
      </c>
      <c r="K613" s="13" t="n">
        <f aca="false">J613*(1-I613)</f>
        <v>38</v>
      </c>
    </row>
    <row r="614" customFormat="false" ht="15" hidden="false" customHeight="false" outlineLevel="0" collapsed="false">
      <c r="A614" s="11" t="n">
        <v>613</v>
      </c>
      <c r="B614" s="15" t="n">
        <v>45870</v>
      </c>
      <c r="C614" s="11" t="n">
        <v>4</v>
      </c>
      <c r="D614" s="11" t="n">
        <v>9</v>
      </c>
      <c r="E614" s="11" t="n">
        <v>34</v>
      </c>
      <c r="F614" s="11" t="n">
        <v>14</v>
      </c>
      <c r="G614" s="11" t="n">
        <v>1</v>
      </c>
      <c r="H614" s="13" t="n">
        <v>38</v>
      </c>
      <c r="I614" s="16" t="n">
        <v>0</v>
      </c>
      <c r="J614" s="13" t="n">
        <f aca="false">G614*H614</f>
        <v>38</v>
      </c>
      <c r="K614" s="13" t="n">
        <f aca="false">J614*(1-I614)</f>
        <v>38</v>
      </c>
    </row>
    <row r="615" customFormat="false" ht="15" hidden="false" customHeight="false" outlineLevel="0" collapsed="false">
      <c r="A615" s="11" t="n">
        <v>614</v>
      </c>
      <c r="B615" s="15" t="n">
        <v>45870</v>
      </c>
      <c r="C615" s="11" t="n">
        <v>2</v>
      </c>
      <c r="D615" s="11" t="n">
        <v>4</v>
      </c>
      <c r="E615" s="11" t="n">
        <v>44</v>
      </c>
      <c r="F615" s="11" t="n">
        <v>20</v>
      </c>
      <c r="G615" s="11" t="n">
        <v>3</v>
      </c>
      <c r="H615" s="13" t="n">
        <v>88</v>
      </c>
      <c r="I615" s="16" t="n">
        <v>0</v>
      </c>
      <c r="J615" s="13" t="n">
        <f aca="false">G615*H615</f>
        <v>264</v>
      </c>
      <c r="K615" s="13" t="n">
        <f aca="false">J615*(1-I615)</f>
        <v>264</v>
      </c>
    </row>
    <row r="616" customFormat="false" ht="15" hidden="false" customHeight="false" outlineLevel="0" collapsed="false">
      <c r="A616" s="11" t="n">
        <v>615</v>
      </c>
      <c r="B616" s="15" t="n">
        <v>45870</v>
      </c>
      <c r="C616" s="11" t="n">
        <v>4</v>
      </c>
      <c r="D616" s="11" t="n">
        <v>9</v>
      </c>
      <c r="E616" s="11" t="n">
        <v>14</v>
      </c>
      <c r="F616" s="11" t="n">
        <v>5</v>
      </c>
      <c r="G616" s="11" t="n">
        <v>1</v>
      </c>
      <c r="H616" s="13" t="n">
        <v>58</v>
      </c>
      <c r="I616" s="16" t="n">
        <v>0</v>
      </c>
      <c r="J616" s="13" t="n">
        <f aca="false">G616*H616</f>
        <v>58</v>
      </c>
      <c r="K616" s="13" t="n">
        <f aca="false">J616*(1-I616)</f>
        <v>58</v>
      </c>
    </row>
    <row r="617" customFormat="false" ht="15" hidden="false" customHeight="false" outlineLevel="0" collapsed="false">
      <c r="A617" s="11" t="n">
        <v>616</v>
      </c>
      <c r="B617" s="15" t="n">
        <v>45871</v>
      </c>
      <c r="C617" s="11" t="n">
        <v>2</v>
      </c>
      <c r="D617" s="11" t="n">
        <v>4</v>
      </c>
      <c r="E617" s="11" t="n">
        <v>35</v>
      </c>
      <c r="F617" s="11" t="n">
        <v>2</v>
      </c>
      <c r="G617" s="11" t="n">
        <v>4</v>
      </c>
      <c r="H617" s="13" t="n">
        <v>45</v>
      </c>
      <c r="I617" s="16" t="n">
        <v>0</v>
      </c>
      <c r="J617" s="13" t="n">
        <f aca="false">G617*H617</f>
        <v>180</v>
      </c>
      <c r="K617" s="13" t="n">
        <f aca="false">J617*(1-I617)</f>
        <v>180</v>
      </c>
    </row>
    <row r="618" customFormat="false" ht="15" hidden="false" customHeight="false" outlineLevel="0" collapsed="false">
      <c r="A618" s="11" t="n">
        <v>617</v>
      </c>
      <c r="B618" s="15" t="n">
        <v>45871</v>
      </c>
      <c r="C618" s="11" t="n">
        <v>4</v>
      </c>
      <c r="D618" s="11" t="n">
        <v>8</v>
      </c>
      <c r="E618" s="11" t="n">
        <v>52</v>
      </c>
      <c r="F618" s="11" t="n">
        <v>19</v>
      </c>
      <c r="G618" s="11" t="n">
        <v>2</v>
      </c>
      <c r="H618" s="13" t="n">
        <v>125</v>
      </c>
      <c r="I618" s="16" t="n">
        <v>0</v>
      </c>
      <c r="J618" s="13" t="n">
        <f aca="false">G618*H618</f>
        <v>250</v>
      </c>
      <c r="K618" s="13" t="n">
        <f aca="false">J618*(1-I618)</f>
        <v>250</v>
      </c>
    </row>
    <row r="619" customFormat="false" ht="15" hidden="false" customHeight="false" outlineLevel="0" collapsed="false">
      <c r="A619" s="11" t="n">
        <v>618</v>
      </c>
      <c r="B619" s="15" t="n">
        <v>45871</v>
      </c>
      <c r="C619" s="11" t="n">
        <v>4</v>
      </c>
      <c r="D619" s="11" t="n">
        <v>8</v>
      </c>
      <c r="E619" s="11" t="n">
        <v>4</v>
      </c>
      <c r="F619" s="11" t="n">
        <v>4</v>
      </c>
      <c r="G619" s="11" t="n">
        <v>1</v>
      </c>
      <c r="H619" s="13" t="n">
        <v>55</v>
      </c>
      <c r="I619" s="16" t="n">
        <v>0</v>
      </c>
      <c r="J619" s="13" t="n">
        <f aca="false">G619*H619</f>
        <v>55</v>
      </c>
      <c r="K619" s="13" t="n">
        <f aca="false">J619*(1-I619)</f>
        <v>55</v>
      </c>
    </row>
    <row r="620" customFormat="false" ht="15" hidden="false" customHeight="false" outlineLevel="0" collapsed="false">
      <c r="A620" s="11" t="n">
        <v>619</v>
      </c>
      <c r="B620" s="15" t="n">
        <v>45871</v>
      </c>
      <c r="C620" s="11" t="n">
        <v>3</v>
      </c>
      <c r="D620" s="11" t="n">
        <v>6</v>
      </c>
      <c r="E620" s="11" t="n">
        <v>37</v>
      </c>
      <c r="F620" s="11" t="n">
        <v>2</v>
      </c>
      <c r="G620" s="11" t="n">
        <v>2</v>
      </c>
      <c r="H620" s="13" t="n">
        <v>45</v>
      </c>
      <c r="I620" s="16" t="n">
        <v>0</v>
      </c>
      <c r="J620" s="13" t="n">
        <f aca="false">G620*H620</f>
        <v>90</v>
      </c>
      <c r="K620" s="13" t="n">
        <f aca="false">J620*(1-I620)</f>
        <v>90</v>
      </c>
    </row>
    <row r="621" customFormat="false" ht="15" hidden="false" customHeight="false" outlineLevel="0" collapsed="false">
      <c r="A621" s="11" t="n">
        <v>620</v>
      </c>
      <c r="B621" s="15" t="n">
        <v>45872</v>
      </c>
      <c r="C621" s="11" t="n">
        <v>1</v>
      </c>
      <c r="D621" s="11" t="n">
        <v>3</v>
      </c>
      <c r="E621" s="11" t="n">
        <v>41</v>
      </c>
      <c r="F621" s="11" t="n">
        <v>19</v>
      </c>
      <c r="G621" s="11" t="n">
        <v>1</v>
      </c>
      <c r="H621" s="13" t="n">
        <v>125</v>
      </c>
      <c r="I621" s="16" t="n">
        <v>0</v>
      </c>
      <c r="J621" s="13" t="n">
        <f aca="false">G621*H621</f>
        <v>125</v>
      </c>
      <c r="K621" s="13" t="n">
        <f aca="false">J621*(1-I621)</f>
        <v>125</v>
      </c>
    </row>
    <row r="622" customFormat="false" ht="15" hidden="false" customHeight="false" outlineLevel="0" collapsed="false">
      <c r="A622" s="11" t="n">
        <v>621</v>
      </c>
      <c r="B622" s="15" t="n">
        <v>45872</v>
      </c>
      <c r="C622" s="11" t="n">
        <v>4</v>
      </c>
      <c r="D622" s="11" t="n">
        <v>9</v>
      </c>
      <c r="E622" s="11" t="n">
        <v>21</v>
      </c>
      <c r="F622" s="11" t="n">
        <v>4</v>
      </c>
      <c r="G622" s="11" t="n">
        <v>5</v>
      </c>
      <c r="H622" s="13" t="n">
        <v>55</v>
      </c>
      <c r="I622" s="16" t="n">
        <v>0</v>
      </c>
      <c r="J622" s="13" t="n">
        <f aca="false">G622*H622</f>
        <v>275</v>
      </c>
      <c r="K622" s="13" t="n">
        <f aca="false">J622*(1-I622)</f>
        <v>275</v>
      </c>
    </row>
    <row r="623" customFormat="false" ht="15" hidden="false" customHeight="false" outlineLevel="0" collapsed="false">
      <c r="A623" s="11" t="n">
        <v>622</v>
      </c>
      <c r="B623" s="15" t="n">
        <v>45872</v>
      </c>
      <c r="C623" s="11" t="n">
        <v>1</v>
      </c>
      <c r="D623" s="11" t="n">
        <v>1</v>
      </c>
      <c r="E623" s="11" t="n">
        <v>12</v>
      </c>
      <c r="F623" s="11" t="n">
        <v>2</v>
      </c>
      <c r="G623" s="11" t="n">
        <v>1</v>
      </c>
      <c r="H623" s="13" t="n">
        <v>45</v>
      </c>
      <c r="I623" s="16" t="n">
        <v>0</v>
      </c>
      <c r="J623" s="13" t="n">
        <f aca="false">G623*H623</f>
        <v>45</v>
      </c>
      <c r="K623" s="13" t="n">
        <f aca="false">J623*(1-I623)</f>
        <v>45</v>
      </c>
    </row>
    <row r="624" customFormat="false" ht="15" hidden="false" customHeight="false" outlineLevel="0" collapsed="false">
      <c r="A624" s="11" t="n">
        <v>623</v>
      </c>
      <c r="B624" s="15" t="n">
        <v>45872</v>
      </c>
      <c r="C624" s="11" t="n">
        <v>2</v>
      </c>
      <c r="D624" s="11" t="n">
        <v>5</v>
      </c>
      <c r="E624" s="11" t="n">
        <v>45</v>
      </c>
      <c r="F624" s="11" t="n">
        <v>4</v>
      </c>
      <c r="G624" s="11" t="n">
        <v>3</v>
      </c>
      <c r="H624" s="13" t="n">
        <v>55</v>
      </c>
      <c r="I624" s="16" t="n">
        <v>0</v>
      </c>
      <c r="J624" s="13" t="n">
        <f aca="false">G624*H624</f>
        <v>165</v>
      </c>
      <c r="K624" s="13" t="n">
        <f aca="false">J624*(1-I624)</f>
        <v>165</v>
      </c>
    </row>
    <row r="625" customFormat="false" ht="15" hidden="false" customHeight="false" outlineLevel="0" collapsed="false">
      <c r="A625" s="11" t="n">
        <v>624</v>
      </c>
      <c r="B625" s="15" t="n">
        <v>45873</v>
      </c>
      <c r="C625" s="11" t="n">
        <v>1</v>
      </c>
      <c r="D625" s="11" t="n">
        <v>2</v>
      </c>
      <c r="E625" s="11" t="n">
        <v>10</v>
      </c>
      <c r="F625" s="11" t="n">
        <v>5</v>
      </c>
      <c r="G625" s="11" t="n">
        <v>1</v>
      </c>
      <c r="H625" s="13" t="n">
        <v>58</v>
      </c>
      <c r="I625" s="16" t="n">
        <v>0.05</v>
      </c>
      <c r="J625" s="13" t="n">
        <f aca="false">G625*H625</f>
        <v>58</v>
      </c>
      <c r="K625" s="13" t="n">
        <f aca="false">J625*(1-I625)</f>
        <v>55.1</v>
      </c>
    </row>
    <row r="626" customFormat="false" ht="15" hidden="false" customHeight="false" outlineLevel="0" collapsed="false">
      <c r="A626" s="11" t="n">
        <v>625</v>
      </c>
      <c r="B626" s="15" t="n">
        <v>45874</v>
      </c>
      <c r="C626" s="11" t="n">
        <v>3</v>
      </c>
      <c r="D626" s="11" t="n">
        <v>6</v>
      </c>
      <c r="E626" s="11" t="n">
        <v>33</v>
      </c>
      <c r="F626" s="11" t="n">
        <v>6</v>
      </c>
      <c r="G626" s="11" t="n">
        <v>2</v>
      </c>
      <c r="H626" s="13" t="n">
        <v>62</v>
      </c>
      <c r="I626" s="16" t="n">
        <v>0</v>
      </c>
      <c r="J626" s="13" t="n">
        <f aca="false">G626*H626</f>
        <v>124</v>
      </c>
      <c r="K626" s="13" t="n">
        <f aca="false">J626*(1-I626)</f>
        <v>124</v>
      </c>
    </row>
    <row r="627" customFormat="false" ht="15" hidden="false" customHeight="false" outlineLevel="0" collapsed="false">
      <c r="A627" s="11" t="n">
        <v>626</v>
      </c>
      <c r="B627" s="15" t="n">
        <v>45874</v>
      </c>
      <c r="C627" s="11" t="n">
        <v>5</v>
      </c>
      <c r="D627" s="11" t="n">
        <v>10</v>
      </c>
      <c r="E627" s="11" t="n">
        <v>27</v>
      </c>
      <c r="F627" s="11" t="n">
        <v>2</v>
      </c>
      <c r="G627" s="11" t="n">
        <v>1</v>
      </c>
      <c r="H627" s="13" t="n">
        <v>45</v>
      </c>
      <c r="I627" s="16" t="n">
        <v>0</v>
      </c>
      <c r="J627" s="13" t="n">
        <f aca="false">G627*H627</f>
        <v>45</v>
      </c>
      <c r="K627" s="13" t="n">
        <f aca="false">J627*(1-I627)</f>
        <v>45</v>
      </c>
    </row>
    <row r="628" customFormat="false" ht="15" hidden="false" customHeight="false" outlineLevel="0" collapsed="false">
      <c r="A628" s="11" t="n">
        <v>627</v>
      </c>
      <c r="B628" s="15" t="n">
        <v>45874</v>
      </c>
      <c r="C628" s="11" t="n">
        <v>1</v>
      </c>
      <c r="D628" s="11" t="n">
        <v>2</v>
      </c>
      <c r="E628" s="11" t="n">
        <v>11</v>
      </c>
      <c r="F628" s="11" t="n">
        <v>19</v>
      </c>
      <c r="G628" s="11" t="n">
        <v>1</v>
      </c>
      <c r="H628" s="13" t="n">
        <v>125</v>
      </c>
      <c r="I628" s="16" t="n">
        <v>0</v>
      </c>
      <c r="J628" s="13" t="n">
        <f aca="false">G628*H628</f>
        <v>125</v>
      </c>
      <c r="K628" s="13" t="n">
        <f aca="false">J628*(1-I628)</f>
        <v>125</v>
      </c>
    </row>
    <row r="629" customFormat="false" ht="15" hidden="false" customHeight="false" outlineLevel="0" collapsed="false">
      <c r="A629" s="11" t="n">
        <v>628</v>
      </c>
      <c r="B629" s="15" t="n">
        <v>45874</v>
      </c>
      <c r="C629" s="11" t="n">
        <v>3</v>
      </c>
      <c r="D629" s="11" t="n">
        <v>7</v>
      </c>
      <c r="E629" s="11" t="n">
        <v>16</v>
      </c>
      <c r="F629" s="11" t="n">
        <v>2</v>
      </c>
      <c r="G629" s="11" t="n">
        <v>1</v>
      </c>
      <c r="H629" s="13" t="n">
        <v>45</v>
      </c>
      <c r="I629" s="16" t="n">
        <v>0</v>
      </c>
      <c r="J629" s="13" t="n">
        <f aca="false">G629*H629</f>
        <v>45</v>
      </c>
      <c r="K629" s="13" t="n">
        <f aca="false">J629*(1-I629)</f>
        <v>45</v>
      </c>
    </row>
    <row r="630" customFormat="false" ht="15" hidden="false" customHeight="false" outlineLevel="0" collapsed="false">
      <c r="A630" s="11" t="n">
        <v>629</v>
      </c>
      <c r="B630" s="15" t="n">
        <v>45875</v>
      </c>
      <c r="C630" s="11" t="n">
        <v>3</v>
      </c>
      <c r="D630" s="11" t="n">
        <v>7</v>
      </c>
      <c r="E630" s="11" t="n">
        <v>10</v>
      </c>
      <c r="F630" s="11" t="n">
        <v>8</v>
      </c>
      <c r="G630" s="11" t="n">
        <v>1</v>
      </c>
      <c r="H630" s="13" t="n">
        <v>52</v>
      </c>
      <c r="I630" s="16" t="n">
        <v>0.1</v>
      </c>
      <c r="J630" s="13" t="n">
        <f aca="false">G630*H630</f>
        <v>52</v>
      </c>
      <c r="K630" s="13" t="n">
        <f aca="false">J630*(1-I630)</f>
        <v>46.8</v>
      </c>
    </row>
    <row r="631" customFormat="false" ht="15" hidden="false" customHeight="false" outlineLevel="0" collapsed="false">
      <c r="A631" s="11" t="n">
        <v>630</v>
      </c>
      <c r="B631" s="15" t="n">
        <v>45876</v>
      </c>
      <c r="C631" s="11" t="n">
        <v>3</v>
      </c>
      <c r="D631" s="11" t="n">
        <v>7</v>
      </c>
      <c r="E631" s="11" t="n">
        <v>36</v>
      </c>
      <c r="F631" s="11" t="n">
        <v>16</v>
      </c>
      <c r="G631" s="11" t="n">
        <v>2</v>
      </c>
      <c r="H631" s="13" t="n">
        <v>45</v>
      </c>
      <c r="I631" s="16" t="n">
        <v>0.15</v>
      </c>
      <c r="J631" s="13" t="n">
        <f aca="false">G631*H631</f>
        <v>90</v>
      </c>
      <c r="K631" s="13" t="n">
        <f aca="false">J631*(1-I631)</f>
        <v>76.5</v>
      </c>
    </row>
    <row r="632" customFormat="false" ht="15" hidden="false" customHeight="false" outlineLevel="0" collapsed="false">
      <c r="A632" s="11" t="n">
        <v>631</v>
      </c>
      <c r="B632" s="15" t="n">
        <v>45877</v>
      </c>
      <c r="C632" s="11" t="n">
        <v>5</v>
      </c>
      <c r="D632" s="11" t="n">
        <v>10</v>
      </c>
      <c r="E632" s="11" t="n">
        <v>50</v>
      </c>
      <c r="F632" s="11" t="n">
        <v>10</v>
      </c>
      <c r="G632" s="11" t="n">
        <v>2</v>
      </c>
      <c r="H632" s="13" t="n">
        <v>70</v>
      </c>
      <c r="I632" s="16" t="n">
        <v>0</v>
      </c>
      <c r="J632" s="13" t="n">
        <f aca="false">G632*H632</f>
        <v>140</v>
      </c>
      <c r="K632" s="13" t="n">
        <f aca="false">J632*(1-I632)</f>
        <v>140</v>
      </c>
    </row>
    <row r="633" customFormat="false" ht="15" hidden="false" customHeight="false" outlineLevel="0" collapsed="false">
      <c r="A633" s="11" t="n">
        <v>632</v>
      </c>
      <c r="B633" s="15" t="n">
        <v>45877</v>
      </c>
      <c r="C633" s="11" t="n">
        <v>3</v>
      </c>
      <c r="D633" s="11" t="n">
        <v>7</v>
      </c>
      <c r="E633" s="11" t="n">
        <v>45</v>
      </c>
      <c r="F633" s="11" t="n">
        <v>2</v>
      </c>
      <c r="G633" s="11" t="n">
        <v>4</v>
      </c>
      <c r="H633" s="13" t="n">
        <v>45</v>
      </c>
      <c r="I633" s="16" t="n">
        <v>0</v>
      </c>
      <c r="J633" s="13" t="n">
        <f aca="false">G633*H633</f>
        <v>180</v>
      </c>
      <c r="K633" s="13" t="n">
        <f aca="false">J633*(1-I633)</f>
        <v>180</v>
      </c>
    </row>
    <row r="634" customFormat="false" ht="15" hidden="false" customHeight="false" outlineLevel="0" collapsed="false">
      <c r="A634" s="11" t="n">
        <v>633</v>
      </c>
      <c r="B634" s="15" t="n">
        <v>45877</v>
      </c>
      <c r="C634" s="11" t="n">
        <v>5</v>
      </c>
      <c r="D634" s="11" t="n">
        <v>10</v>
      </c>
      <c r="E634" s="11" t="n">
        <v>51</v>
      </c>
      <c r="F634" s="11" t="n">
        <v>13</v>
      </c>
      <c r="G634" s="11" t="n">
        <v>1</v>
      </c>
      <c r="H634" s="13" t="n">
        <v>32</v>
      </c>
      <c r="I634" s="16" t="n">
        <v>0.05</v>
      </c>
      <c r="J634" s="13" t="n">
        <f aca="false">G634*H634</f>
        <v>32</v>
      </c>
      <c r="K634" s="13" t="n">
        <f aca="false">J634*(1-I634)</f>
        <v>30.4</v>
      </c>
    </row>
    <row r="635" customFormat="false" ht="15" hidden="false" customHeight="false" outlineLevel="0" collapsed="false">
      <c r="A635" s="11" t="n">
        <v>634</v>
      </c>
      <c r="B635" s="15" t="n">
        <v>45877</v>
      </c>
      <c r="C635" s="11" t="n">
        <v>1</v>
      </c>
      <c r="D635" s="11" t="n">
        <v>3</v>
      </c>
      <c r="E635" s="11" t="n">
        <v>45</v>
      </c>
      <c r="F635" s="11" t="n">
        <v>3</v>
      </c>
      <c r="G635" s="11" t="n">
        <v>1</v>
      </c>
      <c r="H635" s="13" t="n">
        <v>38</v>
      </c>
      <c r="I635" s="16" t="n">
        <v>0.15</v>
      </c>
      <c r="J635" s="13" t="n">
        <f aca="false">G635*H635</f>
        <v>38</v>
      </c>
      <c r="K635" s="13" t="n">
        <f aca="false">J635*(1-I635)</f>
        <v>32.3</v>
      </c>
    </row>
    <row r="636" customFormat="false" ht="15" hidden="false" customHeight="false" outlineLevel="0" collapsed="false">
      <c r="A636" s="11" t="n">
        <v>635</v>
      </c>
      <c r="B636" s="15" t="n">
        <v>45878</v>
      </c>
      <c r="C636" s="11" t="n">
        <v>1</v>
      </c>
      <c r="D636" s="11" t="n">
        <v>3</v>
      </c>
      <c r="E636" s="11" t="n">
        <v>48</v>
      </c>
      <c r="F636" s="11" t="n">
        <v>19</v>
      </c>
      <c r="G636" s="11" t="n">
        <v>1</v>
      </c>
      <c r="H636" s="13" t="n">
        <v>125</v>
      </c>
      <c r="I636" s="16" t="n">
        <v>0</v>
      </c>
      <c r="J636" s="13" t="n">
        <f aca="false">G636*H636</f>
        <v>125</v>
      </c>
      <c r="K636" s="13" t="n">
        <f aca="false">J636*(1-I636)</f>
        <v>125</v>
      </c>
    </row>
    <row r="637" customFormat="false" ht="15" hidden="false" customHeight="false" outlineLevel="0" collapsed="false">
      <c r="A637" s="11" t="n">
        <v>636</v>
      </c>
      <c r="B637" s="15" t="n">
        <v>45878</v>
      </c>
      <c r="C637" s="11" t="n">
        <v>4</v>
      </c>
      <c r="D637" s="11" t="n">
        <v>9</v>
      </c>
      <c r="E637" s="11" t="n">
        <v>23</v>
      </c>
      <c r="F637" s="11" t="n">
        <v>16</v>
      </c>
      <c r="G637" s="11" t="n">
        <v>2</v>
      </c>
      <c r="H637" s="13" t="n">
        <v>45</v>
      </c>
      <c r="I637" s="16" t="n">
        <v>0.1</v>
      </c>
      <c r="J637" s="13" t="n">
        <f aca="false">G637*H637</f>
        <v>90</v>
      </c>
      <c r="K637" s="13" t="n">
        <f aca="false">J637*(1-I637)</f>
        <v>81</v>
      </c>
    </row>
    <row r="638" customFormat="false" ht="15" hidden="false" customHeight="false" outlineLevel="0" collapsed="false">
      <c r="A638" s="11" t="n">
        <v>637</v>
      </c>
      <c r="B638" s="15" t="n">
        <v>45878</v>
      </c>
      <c r="C638" s="11" t="n">
        <v>1</v>
      </c>
      <c r="D638" s="11" t="n">
        <v>3</v>
      </c>
      <c r="E638" s="11" t="n">
        <v>31</v>
      </c>
      <c r="F638" s="11" t="n">
        <v>14</v>
      </c>
      <c r="G638" s="11" t="n">
        <v>1</v>
      </c>
      <c r="H638" s="13" t="n">
        <v>38</v>
      </c>
      <c r="I638" s="16" t="n">
        <v>0</v>
      </c>
      <c r="J638" s="13" t="n">
        <f aca="false">G638*H638</f>
        <v>38</v>
      </c>
      <c r="K638" s="13" t="n">
        <f aca="false">J638*(1-I638)</f>
        <v>38</v>
      </c>
    </row>
    <row r="639" customFormat="false" ht="15" hidden="false" customHeight="false" outlineLevel="0" collapsed="false">
      <c r="A639" s="11" t="n">
        <v>638</v>
      </c>
      <c r="B639" s="15" t="n">
        <v>45878</v>
      </c>
      <c r="C639" s="11" t="n">
        <v>4</v>
      </c>
      <c r="D639" s="11" t="n">
        <v>9</v>
      </c>
      <c r="E639" s="11" t="n">
        <v>1</v>
      </c>
      <c r="F639" s="11" t="n">
        <v>14</v>
      </c>
      <c r="G639" s="11" t="n">
        <v>2</v>
      </c>
      <c r="H639" s="13" t="n">
        <v>38</v>
      </c>
      <c r="I639" s="16" t="n">
        <v>0.1</v>
      </c>
      <c r="J639" s="13" t="n">
        <f aca="false">G639*H639</f>
        <v>76</v>
      </c>
      <c r="K639" s="13" t="n">
        <f aca="false">J639*(1-I639)</f>
        <v>68.4</v>
      </c>
    </row>
    <row r="640" customFormat="false" ht="15" hidden="false" customHeight="false" outlineLevel="0" collapsed="false">
      <c r="A640" s="11" t="n">
        <v>639</v>
      </c>
      <c r="B640" s="15" t="n">
        <v>45878</v>
      </c>
      <c r="C640" s="11" t="n">
        <v>5</v>
      </c>
      <c r="D640" s="11" t="n">
        <v>10</v>
      </c>
      <c r="E640" s="11" t="n">
        <v>41</v>
      </c>
      <c r="F640" s="11" t="n">
        <v>13</v>
      </c>
      <c r="G640" s="11" t="n">
        <v>2</v>
      </c>
      <c r="H640" s="13" t="n">
        <v>32</v>
      </c>
      <c r="I640" s="16" t="n">
        <v>0.15</v>
      </c>
      <c r="J640" s="13" t="n">
        <f aca="false">G640*H640</f>
        <v>64</v>
      </c>
      <c r="K640" s="13" t="n">
        <f aca="false">J640*(1-I640)</f>
        <v>54.4</v>
      </c>
    </row>
    <row r="641" customFormat="false" ht="15" hidden="false" customHeight="false" outlineLevel="0" collapsed="false">
      <c r="A641" s="11" t="n">
        <v>640</v>
      </c>
      <c r="B641" s="15" t="n">
        <v>45879</v>
      </c>
      <c r="C641" s="11" t="n">
        <v>5</v>
      </c>
      <c r="D641" s="11" t="n">
        <v>10</v>
      </c>
      <c r="E641" s="11" t="n">
        <v>19</v>
      </c>
      <c r="F641" s="11" t="n">
        <v>8</v>
      </c>
      <c r="G641" s="11" t="n">
        <v>1</v>
      </c>
      <c r="H641" s="13" t="n">
        <v>52</v>
      </c>
      <c r="I641" s="16" t="n">
        <v>0</v>
      </c>
      <c r="J641" s="13" t="n">
        <f aca="false">G641*H641</f>
        <v>52</v>
      </c>
      <c r="K641" s="13" t="n">
        <f aca="false">J641*(1-I641)</f>
        <v>52</v>
      </c>
    </row>
    <row r="642" customFormat="false" ht="15" hidden="false" customHeight="false" outlineLevel="0" collapsed="false">
      <c r="A642" s="11" t="n">
        <v>641</v>
      </c>
      <c r="B642" s="15" t="n">
        <v>45879</v>
      </c>
      <c r="C642" s="11" t="n">
        <v>1</v>
      </c>
      <c r="D642" s="11" t="n">
        <v>2</v>
      </c>
      <c r="E642" s="11" t="n">
        <v>39</v>
      </c>
      <c r="F642" s="11" t="n">
        <v>2</v>
      </c>
      <c r="G642" s="11" t="n">
        <v>1</v>
      </c>
      <c r="H642" s="13" t="n">
        <v>45</v>
      </c>
      <c r="I642" s="16" t="n">
        <v>0</v>
      </c>
      <c r="J642" s="13" t="n">
        <f aca="false">G642*H642</f>
        <v>45</v>
      </c>
      <c r="K642" s="13" t="n">
        <f aca="false">J642*(1-I642)</f>
        <v>45</v>
      </c>
    </row>
    <row r="643" customFormat="false" ht="15" hidden="false" customHeight="false" outlineLevel="0" collapsed="false">
      <c r="A643" s="11" t="n">
        <v>642</v>
      </c>
      <c r="B643" s="15" t="n">
        <v>45879</v>
      </c>
      <c r="C643" s="11" t="n">
        <v>3</v>
      </c>
      <c r="D643" s="11" t="n">
        <v>7</v>
      </c>
      <c r="E643" s="11" t="n">
        <v>2</v>
      </c>
      <c r="F643" s="11" t="n">
        <v>2</v>
      </c>
      <c r="G643" s="11" t="n">
        <v>1</v>
      </c>
      <c r="H643" s="13" t="n">
        <v>45</v>
      </c>
      <c r="I643" s="16" t="n">
        <v>0</v>
      </c>
      <c r="J643" s="13" t="n">
        <f aca="false">G643*H643</f>
        <v>45</v>
      </c>
      <c r="K643" s="13" t="n">
        <f aca="false">J643*(1-I643)</f>
        <v>45</v>
      </c>
    </row>
    <row r="644" customFormat="false" ht="15" hidden="false" customHeight="false" outlineLevel="0" collapsed="false">
      <c r="A644" s="11" t="n">
        <v>643</v>
      </c>
      <c r="B644" s="15" t="n">
        <v>45879</v>
      </c>
      <c r="C644" s="11" t="n">
        <v>1</v>
      </c>
      <c r="D644" s="11" t="n">
        <v>2</v>
      </c>
      <c r="E644" s="11" t="n">
        <v>32</v>
      </c>
      <c r="F644" s="11" t="n">
        <v>17</v>
      </c>
      <c r="G644" s="11" t="n">
        <v>2</v>
      </c>
      <c r="H644" s="13" t="n">
        <v>28</v>
      </c>
      <c r="I644" s="16" t="n">
        <v>0</v>
      </c>
      <c r="J644" s="13" t="n">
        <f aca="false">G644*H644</f>
        <v>56</v>
      </c>
      <c r="K644" s="13" t="n">
        <f aca="false">J644*(1-I644)</f>
        <v>56</v>
      </c>
    </row>
    <row r="645" customFormat="false" ht="15" hidden="false" customHeight="false" outlineLevel="0" collapsed="false">
      <c r="A645" s="11" t="n">
        <v>644</v>
      </c>
      <c r="B645" s="15" t="n">
        <v>45880</v>
      </c>
      <c r="C645" s="11" t="n">
        <v>2</v>
      </c>
      <c r="D645" s="11" t="n">
        <v>4</v>
      </c>
      <c r="E645" s="11" t="n">
        <v>11</v>
      </c>
      <c r="F645" s="11" t="n">
        <v>14</v>
      </c>
      <c r="G645" s="11" t="n">
        <v>2</v>
      </c>
      <c r="H645" s="13" t="n">
        <v>38</v>
      </c>
      <c r="I645" s="16" t="n">
        <v>0.1</v>
      </c>
      <c r="J645" s="13" t="n">
        <f aca="false">G645*H645</f>
        <v>76</v>
      </c>
      <c r="K645" s="13" t="n">
        <f aca="false">J645*(1-I645)</f>
        <v>68.4</v>
      </c>
    </row>
    <row r="646" customFormat="false" ht="15" hidden="false" customHeight="false" outlineLevel="0" collapsed="false">
      <c r="A646" s="11" t="n">
        <v>645</v>
      </c>
      <c r="B646" s="15" t="n">
        <v>45880</v>
      </c>
      <c r="C646" s="11" t="n">
        <v>3</v>
      </c>
      <c r="D646" s="11" t="n">
        <v>7</v>
      </c>
      <c r="E646" s="11" t="n">
        <v>27</v>
      </c>
      <c r="F646" s="11" t="n">
        <v>20</v>
      </c>
      <c r="G646" s="11" t="n">
        <v>3</v>
      </c>
      <c r="H646" s="13" t="n">
        <v>88</v>
      </c>
      <c r="I646" s="16" t="n">
        <v>0</v>
      </c>
      <c r="J646" s="13" t="n">
        <f aca="false">G646*H646</f>
        <v>264</v>
      </c>
      <c r="K646" s="13" t="n">
        <f aca="false">J646*(1-I646)</f>
        <v>264</v>
      </c>
    </row>
    <row r="647" customFormat="false" ht="15" hidden="false" customHeight="false" outlineLevel="0" collapsed="false">
      <c r="A647" s="11" t="n">
        <v>646</v>
      </c>
      <c r="B647" s="15" t="n">
        <v>45880</v>
      </c>
      <c r="C647" s="11" t="n">
        <v>3</v>
      </c>
      <c r="D647" s="11" t="n">
        <v>6</v>
      </c>
      <c r="E647" s="11" t="n">
        <v>10</v>
      </c>
      <c r="F647" s="11" t="n">
        <v>2</v>
      </c>
      <c r="G647" s="11" t="n">
        <v>2</v>
      </c>
      <c r="H647" s="13" t="n">
        <v>45</v>
      </c>
      <c r="I647" s="16" t="n">
        <v>0.15</v>
      </c>
      <c r="J647" s="13" t="n">
        <f aca="false">G647*H647</f>
        <v>90</v>
      </c>
      <c r="K647" s="13" t="n">
        <f aca="false">J647*(1-I647)</f>
        <v>76.5</v>
      </c>
    </row>
    <row r="648" customFormat="false" ht="15" hidden="false" customHeight="false" outlineLevel="0" collapsed="false">
      <c r="A648" s="11" t="n">
        <v>647</v>
      </c>
      <c r="B648" s="15" t="n">
        <v>45880</v>
      </c>
      <c r="C648" s="11" t="n">
        <v>3</v>
      </c>
      <c r="D648" s="11" t="n">
        <v>7</v>
      </c>
      <c r="E648" s="11" t="n">
        <v>12</v>
      </c>
      <c r="F648" s="11" t="n">
        <v>10</v>
      </c>
      <c r="G648" s="11" t="n">
        <v>4</v>
      </c>
      <c r="H648" s="13" t="n">
        <v>70</v>
      </c>
      <c r="I648" s="16" t="n">
        <v>0</v>
      </c>
      <c r="J648" s="13" t="n">
        <f aca="false">G648*H648</f>
        <v>280</v>
      </c>
      <c r="K648" s="13" t="n">
        <f aca="false">J648*(1-I648)</f>
        <v>280</v>
      </c>
    </row>
    <row r="649" customFormat="false" ht="15" hidden="false" customHeight="false" outlineLevel="0" collapsed="false">
      <c r="A649" s="11" t="n">
        <v>648</v>
      </c>
      <c r="B649" s="15" t="n">
        <v>45880</v>
      </c>
      <c r="C649" s="11" t="n">
        <v>2</v>
      </c>
      <c r="D649" s="11" t="n">
        <v>5</v>
      </c>
      <c r="E649" s="11" t="n">
        <v>15</v>
      </c>
      <c r="F649" s="11" t="n">
        <v>4</v>
      </c>
      <c r="G649" s="11" t="n">
        <v>1</v>
      </c>
      <c r="H649" s="13" t="n">
        <v>55</v>
      </c>
      <c r="I649" s="16" t="n">
        <v>0</v>
      </c>
      <c r="J649" s="13" t="n">
        <f aca="false">G649*H649</f>
        <v>55</v>
      </c>
      <c r="K649" s="13" t="n">
        <f aca="false">J649*(1-I649)</f>
        <v>55</v>
      </c>
    </row>
    <row r="650" customFormat="false" ht="15" hidden="false" customHeight="false" outlineLevel="0" collapsed="false">
      <c r="A650" s="11" t="n">
        <v>649</v>
      </c>
      <c r="B650" s="15" t="n">
        <v>45881</v>
      </c>
      <c r="C650" s="11" t="n">
        <v>4</v>
      </c>
      <c r="D650" s="11" t="n">
        <v>8</v>
      </c>
      <c r="E650" s="11" t="n">
        <v>39</v>
      </c>
      <c r="F650" s="11" t="n">
        <v>17</v>
      </c>
      <c r="G650" s="11" t="n">
        <v>1</v>
      </c>
      <c r="H650" s="13" t="n">
        <v>28</v>
      </c>
      <c r="I650" s="16" t="n">
        <v>0</v>
      </c>
      <c r="J650" s="13" t="n">
        <f aca="false">G650*H650</f>
        <v>28</v>
      </c>
      <c r="K650" s="13" t="n">
        <f aca="false">J650*(1-I650)</f>
        <v>28</v>
      </c>
    </row>
    <row r="651" customFormat="false" ht="15" hidden="false" customHeight="false" outlineLevel="0" collapsed="false">
      <c r="A651" s="11" t="n">
        <v>650</v>
      </c>
      <c r="B651" s="15" t="n">
        <v>45881</v>
      </c>
      <c r="C651" s="11" t="n">
        <v>3</v>
      </c>
      <c r="D651" s="11" t="n">
        <v>6</v>
      </c>
      <c r="E651" s="11" t="n">
        <v>49</v>
      </c>
      <c r="F651" s="11" t="n">
        <v>16</v>
      </c>
      <c r="G651" s="11" t="n">
        <v>4</v>
      </c>
      <c r="H651" s="13" t="n">
        <v>45</v>
      </c>
      <c r="I651" s="16" t="n">
        <v>0</v>
      </c>
      <c r="J651" s="13" t="n">
        <f aca="false">G651*H651</f>
        <v>180</v>
      </c>
      <c r="K651" s="13" t="n">
        <f aca="false">J651*(1-I651)</f>
        <v>180</v>
      </c>
    </row>
    <row r="652" customFormat="false" ht="15" hidden="false" customHeight="false" outlineLevel="0" collapsed="false">
      <c r="A652" s="11" t="n">
        <v>651</v>
      </c>
      <c r="B652" s="15" t="n">
        <v>45881</v>
      </c>
      <c r="C652" s="11" t="n">
        <v>1</v>
      </c>
      <c r="D652" s="11" t="n">
        <v>1</v>
      </c>
      <c r="E652" s="11" t="n">
        <v>58</v>
      </c>
      <c r="F652" s="11" t="n">
        <v>19</v>
      </c>
      <c r="G652" s="11" t="n">
        <v>2</v>
      </c>
      <c r="H652" s="13" t="n">
        <v>125</v>
      </c>
      <c r="I652" s="16" t="n">
        <v>0</v>
      </c>
      <c r="J652" s="13" t="n">
        <f aca="false">G652*H652</f>
        <v>250</v>
      </c>
      <c r="K652" s="13" t="n">
        <f aca="false">J652*(1-I652)</f>
        <v>250</v>
      </c>
    </row>
    <row r="653" customFormat="false" ht="15" hidden="false" customHeight="false" outlineLevel="0" collapsed="false">
      <c r="A653" s="11" t="n">
        <v>652</v>
      </c>
      <c r="B653" s="15" t="n">
        <v>45882</v>
      </c>
      <c r="C653" s="11" t="n">
        <v>2</v>
      </c>
      <c r="D653" s="11" t="n">
        <v>5</v>
      </c>
      <c r="E653" s="11" t="n">
        <v>55</v>
      </c>
      <c r="F653" s="11" t="n">
        <v>11</v>
      </c>
      <c r="G653" s="11" t="n">
        <v>1</v>
      </c>
      <c r="H653" s="13" t="n">
        <v>72</v>
      </c>
      <c r="I653" s="16" t="n">
        <v>0</v>
      </c>
      <c r="J653" s="13" t="n">
        <f aca="false">G653*H653</f>
        <v>72</v>
      </c>
      <c r="K653" s="13" t="n">
        <f aca="false">J653*(1-I653)</f>
        <v>72</v>
      </c>
    </row>
    <row r="654" customFormat="false" ht="15" hidden="false" customHeight="false" outlineLevel="0" collapsed="false">
      <c r="A654" s="11" t="n">
        <v>653</v>
      </c>
      <c r="B654" s="15" t="n">
        <v>45882</v>
      </c>
      <c r="C654" s="11" t="n">
        <v>1</v>
      </c>
      <c r="D654" s="11" t="n">
        <v>3</v>
      </c>
      <c r="E654" s="11" t="n">
        <v>33</v>
      </c>
      <c r="F654" s="11" t="n">
        <v>5</v>
      </c>
      <c r="G654" s="11" t="n">
        <v>3</v>
      </c>
      <c r="H654" s="13" t="n">
        <v>58</v>
      </c>
      <c r="I654" s="16" t="n">
        <v>0</v>
      </c>
      <c r="J654" s="13" t="n">
        <f aca="false">G654*H654</f>
        <v>174</v>
      </c>
      <c r="K654" s="13" t="n">
        <f aca="false">J654*(1-I654)</f>
        <v>174</v>
      </c>
    </row>
    <row r="655" customFormat="false" ht="15" hidden="false" customHeight="false" outlineLevel="0" collapsed="false">
      <c r="A655" s="11" t="n">
        <v>654</v>
      </c>
      <c r="B655" s="15" t="n">
        <v>45882</v>
      </c>
      <c r="C655" s="11" t="n">
        <v>1</v>
      </c>
      <c r="D655" s="11" t="n">
        <v>1</v>
      </c>
      <c r="E655" s="11" t="n">
        <v>57</v>
      </c>
      <c r="F655" s="11" t="n">
        <v>7</v>
      </c>
      <c r="G655" s="11" t="n">
        <v>2</v>
      </c>
      <c r="H655" s="13" t="n">
        <v>50</v>
      </c>
      <c r="I655" s="16" t="n">
        <v>0</v>
      </c>
      <c r="J655" s="13" t="n">
        <f aca="false">G655*H655</f>
        <v>100</v>
      </c>
      <c r="K655" s="13" t="n">
        <f aca="false">J655*(1-I655)</f>
        <v>100</v>
      </c>
    </row>
    <row r="656" customFormat="false" ht="15" hidden="false" customHeight="false" outlineLevel="0" collapsed="false">
      <c r="A656" s="11" t="n">
        <v>655</v>
      </c>
      <c r="B656" s="15" t="n">
        <v>45882</v>
      </c>
      <c r="C656" s="11" t="n">
        <v>1</v>
      </c>
      <c r="D656" s="11" t="n">
        <v>2</v>
      </c>
      <c r="E656" s="11" t="n">
        <v>47</v>
      </c>
      <c r="F656" s="11" t="n">
        <v>16</v>
      </c>
      <c r="G656" s="11" t="n">
        <v>1</v>
      </c>
      <c r="H656" s="13" t="n">
        <v>45</v>
      </c>
      <c r="I656" s="16" t="n">
        <v>0</v>
      </c>
      <c r="J656" s="13" t="n">
        <f aca="false">G656*H656</f>
        <v>45</v>
      </c>
      <c r="K656" s="13" t="n">
        <f aca="false">J656*(1-I656)</f>
        <v>45</v>
      </c>
    </row>
    <row r="657" customFormat="false" ht="15" hidden="false" customHeight="false" outlineLevel="0" collapsed="false">
      <c r="A657" s="11" t="n">
        <v>656</v>
      </c>
      <c r="B657" s="15" t="n">
        <v>45883</v>
      </c>
      <c r="C657" s="11" t="n">
        <v>1</v>
      </c>
      <c r="D657" s="11" t="n">
        <v>2</v>
      </c>
      <c r="E657" s="11" t="n">
        <v>25</v>
      </c>
      <c r="F657" s="11" t="n">
        <v>19</v>
      </c>
      <c r="G657" s="11" t="n">
        <v>4</v>
      </c>
      <c r="H657" s="13" t="n">
        <v>125</v>
      </c>
      <c r="I657" s="16" t="n">
        <v>0</v>
      </c>
      <c r="J657" s="13" t="n">
        <f aca="false">G657*H657</f>
        <v>500</v>
      </c>
      <c r="K657" s="13" t="n">
        <f aca="false">J657*(1-I657)</f>
        <v>500</v>
      </c>
    </row>
    <row r="658" customFormat="false" ht="15" hidden="false" customHeight="false" outlineLevel="0" collapsed="false">
      <c r="A658" s="11" t="n">
        <v>657</v>
      </c>
      <c r="B658" s="15" t="n">
        <v>45883</v>
      </c>
      <c r="C658" s="11" t="n">
        <v>1</v>
      </c>
      <c r="D658" s="11" t="n">
        <v>2</v>
      </c>
      <c r="E658" s="11" t="n">
        <v>23</v>
      </c>
      <c r="F658" s="11" t="n">
        <v>15</v>
      </c>
      <c r="G658" s="11" t="n">
        <v>1</v>
      </c>
      <c r="H658" s="13" t="n">
        <v>65</v>
      </c>
      <c r="I658" s="16" t="n">
        <v>0.05</v>
      </c>
      <c r="J658" s="13" t="n">
        <f aca="false">G658*H658</f>
        <v>65</v>
      </c>
      <c r="K658" s="13" t="n">
        <f aca="false">J658*(1-I658)</f>
        <v>61.75</v>
      </c>
    </row>
    <row r="659" customFormat="false" ht="15" hidden="false" customHeight="false" outlineLevel="0" collapsed="false">
      <c r="A659" s="11" t="n">
        <v>658</v>
      </c>
      <c r="B659" s="15" t="n">
        <v>45883</v>
      </c>
      <c r="C659" s="11" t="n">
        <v>4</v>
      </c>
      <c r="D659" s="11" t="n">
        <v>9</v>
      </c>
      <c r="E659" s="11" t="n">
        <v>49</v>
      </c>
      <c r="F659" s="11" t="n">
        <v>18</v>
      </c>
      <c r="G659" s="11" t="n">
        <v>3</v>
      </c>
      <c r="H659" s="13" t="n">
        <v>95</v>
      </c>
      <c r="I659" s="16" t="n">
        <v>0.05</v>
      </c>
      <c r="J659" s="13" t="n">
        <f aca="false">G659*H659</f>
        <v>285</v>
      </c>
      <c r="K659" s="13" t="n">
        <f aca="false">J659*(1-I659)</f>
        <v>270.75</v>
      </c>
    </row>
    <row r="660" customFormat="false" ht="15" hidden="false" customHeight="false" outlineLevel="0" collapsed="false">
      <c r="A660" s="11" t="n">
        <v>659</v>
      </c>
      <c r="B660" s="15" t="n">
        <v>45883</v>
      </c>
      <c r="C660" s="11" t="n">
        <v>1</v>
      </c>
      <c r="D660" s="11" t="n">
        <v>1</v>
      </c>
      <c r="E660" s="11" t="n">
        <v>23</v>
      </c>
      <c r="F660" s="11" t="n">
        <v>18</v>
      </c>
      <c r="G660" s="11" t="n">
        <v>1</v>
      </c>
      <c r="H660" s="13" t="n">
        <v>95</v>
      </c>
      <c r="I660" s="16" t="n">
        <v>0</v>
      </c>
      <c r="J660" s="13" t="n">
        <f aca="false">G660*H660</f>
        <v>95</v>
      </c>
      <c r="K660" s="13" t="n">
        <f aca="false">J660*(1-I660)</f>
        <v>95</v>
      </c>
    </row>
    <row r="661" customFormat="false" ht="15" hidden="false" customHeight="false" outlineLevel="0" collapsed="false">
      <c r="A661" s="11" t="n">
        <v>660</v>
      </c>
      <c r="B661" s="15" t="n">
        <v>45883</v>
      </c>
      <c r="C661" s="11" t="n">
        <v>5</v>
      </c>
      <c r="D661" s="11" t="n">
        <v>10</v>
      </c>
      <c r="E661" s="11" t="n">
        <v>3</v>
      </c>
      <c r="F661" s="11" t="n">
        <v>1</v>
      </c>
      <c r="G661" s="11" t="n">
        <v>3</v>
      </c>
      <c r="H661" s="13" t="n">
        <v>35</v>
      </c>
      <c r="I661" s="16" t="n">
        <v>0.1</v>
      </c>
      <c r="J661" s="13" t="n">
        <f aca="false">G661*H661</f>
        <v>105</v>
      </c>
      <c r="K661" s="13" t="n">
        <f aca="false">J661*(1-I661)</f>
        <v>94.5</v>
      </c>
    </row>
    <row r="662" customFormat="false" ht="15" hidden="false" customHeight="false" outlineLevel="0" collapsed="false">
      <c r="A662" s="11" t="n">
        <v>661</v>
      </c>
      <c r="B662" s="15" t="n">
        <v>45883</v>
      </c>
      <c r="C662" s="11" t="n">
        <v>5</v>
      </c>
      <c r="D662" s="11" t="n">
        <v>10</v>
      </c>
      <c r="E662" s="11" t="n">
        <v>16</v>
      </c>
      <c r="F662" s="11" t="n">
        <v>10</v>
      </c>
      <c r="G662" s="11" t="n">
        <v>1</v>
      </c>
      <c r="H662" s="13" t="n">
        <v>70</v>
      </c>
      <c r="I662" s="16" t="n">
        <v>0.1</v>
      </c>
      <c r="J662" s="13" t="n">
        <f aca="false">G662*H662</f>
        <v>70</v>
      </c>
      <c r="K662" s="13" t="n">
        <f aca="false">J662*(1-I662)</f>
        <v>63</v>
      </c>
    </row>
    <row r="663" customFormat="false" ht="15" hidden="false" customHeight="false" outlineLevel="0" collapsed="false">
      <c r="A663" s="11" t="n">
        <v>662</v>
      </c>
      <c r="B663" s="15" t="n">
        <v>45884</v>
      </c>
      <c r="C663" s="11" t="n">
        <v>1</v>
      </c>
      <c r="D663" s="11" t="n">
        <v>1</v>
      </c>
      <c r="E663" s="11" t="n">
        <v>14</v>
      </c>
      <c r="F663" s="11" t="n">
        <v>18</v>
      </c>
      <c r="G663" s="11" t="n">
        <v>2</v>
      </c>
      <c r="H663" s="13" t="n">
        <v>95</v>
      </c>
      <c r="I663" s="16" t="n">
        <v>0</v>
      </c>
      <c r="J663" s="13" t="n">
        <f aca="false">G663*H663</f>
        <v>190</v>
      </c>
      <c r="K663" s="13" t="n">
        <f aca="false">J663*(1-I663)</f>
        <v>190</v>
      </c>
    </row>
    <row r="664" customFormat="false" ht="15" hidden="false" customHeight="false" outlineLevel="0" collapsed="false">
      <c r="A664" s="11" t="n">
        <v>663</v>
      </c>
      <c r="B664" s="15" t="n">
        <v>45884</v>
      </c>
      <c r="C664" s="11" t="n">
        <v>4</v>
      </c>
      <c r="D664" s="11" t="n">
        <v>9</v>
      </c>
      <c r="E664" s="11" t="n">
        <v>22</v>
      </c>
      <c r="F664" s="11" t="n">
        <v>3</v>
      </c>
      <c r="G664" s="11" t="n">
        <v>1</v>
      </c>
      <c r="H664" s="13" t="n">
        <v>38</v>
      </c>
      <c r="I664" s="16" t="n">
        <v>0</v>
      </c>
      <c r="J664" s="13" t="n">
        <f aca="false">G664*H664</f>
        <v>38</v>
      </c>
      <c r="K664" s="13" t="n">
        <f aca="false">J664*(1-I664)</f>
        <v>38</v>
      </c>
    </row>
    <row r="665" customFormat="false" ht="15" hidden="false" customHeight="false" outlineLevel="0" collapsed="false">
      <c r="A665" s="11" t="n">
        <v>664</v>
      </c>
      <c r="B665" s="15" t="n">
        <v>45885</v>
      </c>
      <c r="C665" s="11" t="n">
        <v>3</v>
      </c>
      <c r="D665" s="11" t="n">
        <v>7</v>
      </c>
      <c r="E665" s="11" t="n">
        <v>28</v>
      </c>
      <c r="F665" s="11" t="n">
        <v>18</v>
      </c>
      <c r="G665" s="11" t="n">
        <v>1</v>
      </c>
      <c r="H665" s="13" t="n">
        <v>95</v>
      </c>
      <c r="I665" s="16" t="n">
        <v>0</v>
      </c>
      <c r="J665" s="13" t="n">
        <f aca="false">G665*H665</f>
        <v>95</v>
      </c>
      <c r="K665" s="13" t="n">
        <f aca="false">J665*(1-I665)</f>
        <v>95</v>
      </c>
    </row>
    <row r="666" customFormat="false" ht="15" hidden="false" customHeight="false" outlineLevel="0" collapsed="false">
      <c r="A666" s="11" t="n">
        <v>665</v>
      </c>
      <c r="B666" s="15" t="n">
        <v>45885</v>
      </c>
      <c r="C666" s="11" t="n">
        <v>4</v>
      </c>
      <c r="D666" s="11" t="n">
        <v>8</v>
      </c>
      <c r="E666" s="11" t="n">
        <v>3</v>
      </c>
      <c r="F666" s="11" t="n">
        <v>4</v>
      </c>
      <c r="G666" s="11" t="n">
        <v>2</v>
      </c>
      <c r="H666" s="13" t="n">
        <v>55</v>
      </c>
      <c r="I666" s="16" t="n">
        <v>0.05</v>
      </c>
      <c r="J666" s="13" t="n">
        <f aca="false">G666*H666</f>
        <v>110</v>
      </c>
      <c r="K666" s="13" t="n">
        <f aca="false">J666*(1-I666)</f>
        <v>104.5</v>
      </c>
    </row>
    <row r="667" customFormat="false" ht="15" hidden="false" customHeight="false" outlineLevel="0" collapsed="false">
      <c r="A667" s="11" t="n">
        <v>666</v>
      </c>
      <c r="B667" s="15" t="n">
        <v>45885</v>
      </c>
      <c r="C667" s="11" t="n">
        <v>1</v>
      </c>
      <c r="D667" s="11" t="n">
        <v>2</v>
      </c>
      <c r="E667" s="11" t="n">
        <v>26</v>
      </c>
      <c r="F667" s="11" t="n">
        <v>5</v>
      </c>
      <c r="G667" s="11" t="n">
        <v>2</v>
      </c>
      <c r="H667" s="13" t="n">
        <v>58</v>
      </c>
      <c r="I667" s="16" t="n">
        <v>0</v>
      </c>
      <c r="J667" s="13" t="n">
        <f aca="false">G667*H667</f>
        <v>116</v>
      </c>
      <c r="K667" s="13" t="n">
        <f aca="false">J667*(1-I667)</f>
        <v>116</v>
      </c>
    </row>
    <row r="668" customFormat="false" ht="15" hidden="false" customHeight="false" outlineLevel="0" collapsed="false">
      <c r="A668" s="11" t="n">
        <v>667</v>
      </c>
      <c r="B668" s="15" t="n">
        <v>45885</v>
      </c>
      <c r="C668" s="11" t="n">
        <v>4</v>
      </c>
      <c r="D668" s="11" t="n">
        <v>8</v>
      </c>
      <c r="E668" s="11" t="n">
        <v>45</v>
      </c>
      <c r="F668" s="11" t="n">
        <v>1</v>
      </c>
      <c r="G668" s="11" t="n">
        <v>1</v>
      </c>
      <c r="H668" s="13" t="n">
        <v>35</v>
      </c>
      <c r="I668" s="16" t="n">
        <v>0</v>
      </c>
      <c r="J668" s="13" t="n">
        <f aca="false">G668*H668</f>
        <v>35</v>
      </c>
      <c r="K668" s="13" t="n">
        <f aca="false">J668*(1-I668)</f>
        <v>35</v>
      </c>
    </row>
    <row r="669" customFormat="false" ht="15" hidden="false" customHeight="false" outlineLevel="0" collapsed="false">
      <c r="A669" s="11" t="n">
        <v>668</v>
      </c>
      <c r="B669" s="15" t="n">
        <v>45885</v>
      </c>
      <c r="C669" s="11" t="n">
        <v>4</v>
      </c>
      <c r="D669" s="11" t="n">
        <v>8</v>
      </c>
      <c r="E669" s="11" t="n">
        <v>15</v>
      </c>
      <c r="F669" s="11" t="n">
        <v>14</v>
      </c>
      <c r="G669" s="11" t="n">
        <v>2</v>
      </c>
      <c r="H669" s="13" t="n">
        <v>38</v>
      </c>
      <c r="I669" s="16" t="n">
        <v>0</v>
      </c>
      <c r="J669" s="13" t="n">
        <f aca="false">G669*H669</f>
        <v>76</v>
      </c>
      <c r="K669" s="13" t="n">
        <f aca="false">J669*(1-I669)</f>
        <v>76</v>
      </c>
    </row>
    <row r="670" customFormat="false" ht="15" hidden="false" customHeight="false" outlineLevel="0" collapsed="false">
      <c r="A670" s="11" t="n">
        <v>669</v>
      </c>
      <c r="B670" s="15" t="n">
        <v>45886</v>
      </c>
      <c r="C670" s="11" t="n">
        <v>1</v>
      </c>
      <c r="D670" s="11" t="n">
        <v>2</v>
      </c>
      <c r="E670" s="11" t="n">
        <v>48</v>
      </c>
      <c r="F670" s="11" t="n">
        <v>11</v>
      </c>
      <c r="G670" s="11" t="n">
        <v>1</v>
      </c>
      <c r="H670" s="13" t="n">
        <v>72</v>
      </c>
      <c r="I670" s="16" t="n">
        <v>0</v>
      </c>
      <c r="J670" s="13" t="n">
        <f aca="false">G670*H670</f>
        <v>72</v>
      </c>
      <c r="K670" s="13" t="n">
        <f aca="false">J670*(1-I670)</f>
        <v>72</v>
      </c>
    </row>
    <row r="671" customFormat="false" ht="15" hidden="false" customHeight="false" outlineLevel="0" collapsed="false">
      <c r="A671" s="11" t="n">
        <v>670</v>
      </c>
      <c r="B671" s="15" t="n">
        <v>45886</v>
      </c>
      <c r="C671" s="11" t="n">
        <v>4</v>
      </c>
      <c r="D671" s="11" t="n">
        <v>8</v>
      </c>
      <c r="E671" s="11" t="n">
        <v>24</v>
      </c>
      <c r="F671" s="11" t="n">
        <v>11</v>
      </c>
      <c r="G671" s="11" t="n">
        <v>1</v>
      </c>
      <c r="H671" s="13" t="n">
        <v>72</v>
      </c>
      <c r="I671" s="16" t="n">
        <v>0.05</v>
      </c>
      <c r="J671" s="13" t="n">
        <f aca="false">G671*H671</f>
        <v>72</v>
      </c>
      <c r="K671" s="13" t="n">
        <f aca="false">J671*(1-I671)</f>
        <v>68.4</v>
      </c>
    </row>
    <row r="672" customFormat="false" ht="15" hidden="false" customHeight="false" outlineLevel="0" collapsed="false">
      <c r="A672" s="11" t="n">
        <v>671</v>
      </c>
      <c r="B672" s="15" t="n">
        <v>45886</v>
      </c>
      <c r="C672" s="11" t="n">
        <v>2</v>
      </c>
      <c r="D672" s="11" t="n">
        <v>5</v>
      </c>
      <c r="E672" s="11" t="n">
        <v>31</v>
      </c>
      <c r="F672" s="11" t="n">
        <v>10</v>
      </c>
      <c r="G672" s="11" t="n">
        <v>4</v>
      </c>
      <c r="H672" s="13" t="n">
        <v>70</v>
      </c>
      <c r="I672" s="16" t="n">
        <v>0</v>
      </c>
      <c r="J672" s="13" t="n">
        <f aca="false">G672*H672</f>
        <v>280</v>
      </c>
      <c r="K672" s="13" t="n">
        <f aca="false">J672*(1-I672)</f>
        <v>280</v>
      </c>
    </row>
    <row r="673" customFormat="false" ht="15" hidden="false" customHeight="false" outlineLevel="0" collapsed="false">
      <c r="A673" s="11" t="n">
        <v>672</v>
      </c>
      <c r="B673" s="15" t="n">
        <v>45887</v>
      </c>
      <c r="C673" s="11" t="n">
        <v>1</v>
      </c>
      <c r="D673" s="11" t="n">
        <v>2</v>
      </c>
      <c r="E673" s="11" t="n">
        <v>4</v>
      </c>
      <c r="F673" s="11" t="n">
        <v>2</v>
      </c>
      <c r="G673" s="11" t="n">
        <v>2</v>
      </c>
      <c r="H673" s="13" t="n">
        <v>45</v>
      </c>
      <c r="I673" s="16" t="n">
        <v>0</v>
      </c>
      <c r="J673" s="13" t="n">
        <f aca="false">G673*H673</f>
        <v>90</v>
      </c>
      <c r="K673" s="13" t="n">
        <f aca="false">J673*(1-I673)</f>
        <v>90</v>
      </c>
    </row>
    <row r="674" customFormat="false" ht="15" hidden="false" customHeight="false" outlineLevel="0" collapsed="false">
      <c r="A674" s="11" t="n">
        <v>673</v>
      </c>
      <c r="B674" s="15" t="n">
        <v>45887</v>
      </c>
      <c r="C674" s="11" t="n">
        <v>3</v>
      </c>
      <c r="D674" s="11" t="n">
        <v>6</v>
      </c>
      <c r="E674" s="11" t="n">
        <v>16</v>
      </c>
      <c r="F674" s="11" t="n">
        <v>3</v>
      </c>
      <c r="G674" s="11" t="n">
        <v>1</v>
      </c>
      <c r="H674" s="13" t="n">
        <v>38</v>
      </c>
      <c r="I674" s="16" t="n">
        <v>0</v>
      </c>
      <c r="J674" s="13" t="n">
        <f aca="false">G674*H674</f>
        <v>38</v>
      </c>
      <c r="K674" s="13" t="n">
        <f aca="false">J674*(1-I674)</f>
        <v>38</v>
      </c>
    </row>
    <row r="675" customFormat="false" ht="15" hidden="false" customHeight="false" outlineLevel="0" collapsed="false">
      <c r="A675" s="11" t="n">
        <v>674</v>
      </c>
      <c r="B675" s="15" t="n">
        <v>45888</v>
      </c>
      <c r="C675" s="11" t="n">
        <v>4</v>
      </c>
      <c r="D675" s="11" t="n">
        <v>8</v>
      </c>
      <c r="E675" s="11" t="n">
        <v>11</v>
      </c>
      <c r="F675" s="11" t="n">
        <v>6</v>
      </c>
      <c r="G675" s="11" t="n">
        <v>1</v>
      </c>
      <c r="H675" s="13" t="n">
        <v>62</v>
      </c>
      <c r="I675" s="16" t="n">
        <v>0.05</v>
      </c>
      <c r="J675" s="13" t="n">
        <f aca="false">G675*H675</f>
        <v>62</v>
      </c>
      <c r="K675" s="13" t="n">
        <f aca="false">J675*(1-I675)</f>
        <v>58.9</v>
      </c>
    </row>
    <row r="676" customFormat="false" ht="15" hidden="false" customHeight="false" outlineLevel="0" collapsed="false">
      <c r="A676" s="11" t="n">
        <v>675</v>
      </c>
      <c r="B676" s="15" t="n">
        <v>45888</v>
      </c>
      <c r="C676" s="11" t="n">
        <v>2</v>
      </c>
      <c r="D676" s="11" t="n">
        <v>5</v>
      </c>
      <c r="E676" s="11" t="n">
        <v>19</v>
      </c>
      <c r="F676" s="11" t="n">
        <v>4</v>
      </c>
      <c r="G676" s="11" t="n">
        <v>1</v>
      </c>
      <c r="H676" s="13" t="n">
        <v>55</v>
      </c>
      <c r="I676" s="16" t="n">
        <v>0.1</v>
      </c>
      <c r="J676" s="13" t="n">
        <f aca="false">G676*H676</f>
        <v>55</v>
      </c>
      <c r="K676" s="13" t="n">
        <f aca="false">J676*(1-I676)</f>
        <v>49.5</v>
      </c>
    </row>
    <row r="677" customFormat="false" ht="15" hidden="false" customHeight="false" outlineLevel="0" collapsed="false">
      <c r="A677" s="11" t="n">
        <v>676</v>
      </c>
      <c r="B677" s="15" t="n">
        <v>45888</v>
      </c>
      <c r="C677" s="11" t="n">
        <v>4</v>
      </c>
      <c r="D677" s="11" t="n">
        <v>8</v>
      </c>
      <c r="E677" s="11" t="n">
        <v>48</v>
      </c>
      <c r="F677" s="11" t="n">
        <v>16</v>
      </c>
      <c r="G677" s="11" t="n">
        <v>4</v>
      </c>
      <c r="H677" s="13" t="n">
        <v>45</v>
      </c>
      <c r="I677" s="16" t="n">
        <v>0</v>
      </c>
      <c r="J677" s="13" t="n">
        <f aca="false">G677*H677</f>
        <v>180</v>
      </c>
      <c r="K677" s="13" t="n">
        <f aca="false">J677*(1-I677)</f>
        <v>180</v>
      </c>
    </row>
    <row r="678" customFormat="false" ht="15" hidden="false" customHeight="false" outlineLevel="0" collapsed="false">
      <c r="A678" s="11" t="n">
        <v>677</v>
      </c>
      <c r="B678" s="15" t="n">
        <v>45888</v>
      </c>
      <c r="C678" s="11" t="n">
        <v>3</v>
      </c>
      <c r="D678" s="11" t="n">
        <v>6</v>
      </c>
      <c r="E678" s="11" t="n">
        <v>50</v>
      </c>
      <c r="F678" s="11" t="n">
        <v>10</v>
      </c>
      <c r="G678" s="11" t="n">
        <v>1</v>
      </c>
      <c r="H678" s="13" t="n">
        <v>70</v>
      </c>
      <c r="I678" s="16" t="n">
        <v>0</v>
      </c>
      <c r="J678" s="13" t="n">
        <f aca="false">G678*H678</f>
        <v>70</v>
      </c>
      <c r="K678" s="13" t="n">
        <f aca="false">J678*(1-I678)</f>
        <v>70</v>
      </c>
    </row>
    <row r="679" customFormat="false" ht="15" hidden="false" customHeight="false" outlineLevel="0" collapsed="false">
      <c r="A679" s="11" t="n">
        <v>678</v>
      </c>
      <c r="B679" s="15" t="n">
        <v>45888</v>
      </c>
      <c r="C679" s="11" t="n">
        <v>2</v>
      </c>
      <c r="D679" s="11" t="n">
        <v>5</v>
      </c>
      <c r="E679" s="11" t="n">
        <v>51</v>
      </c>
      <c r="F679" s="11" t="n">
        <v>13</v>
      </c>
      <c r="G679" s="11" t="n">
        <v>1</v>
      </c>
      <c r="H679" s="13" t="n">
        <v>32</v>
      </c>
      <c r="I679" s="16" t="n">
        <v>0</v>
      </c>
      <c r="J679" s="13" t="n">
        <f aca="false">G679*H679</f>
        <v>32</v>
      </c>
      <c r="K679" s="13" t="n">
        <f aca="false">J679*(1-I679)</f>
        <v>32</v>
      </c>
    </row>
    <row r="680" customFormat="false" ht="15" hidden="false" customHeight="false" outlineLevel="0" collapsed="false">
      <c r="A680" s="11" t="n">
        <v>679</v>
      </c>
      <c r="B680" s="15" t="n">
        <v>45889</v>
      </c>
      <c r="C680" s="11" t="n">
        <v>5</v>
      </c>
      <c r="D680" s="11" t="n">
        <v>10</v>
      </c>
      <c r="E680" s="11" t="n">
        <v>50</v>
      </c>
      <c r="F680" s="11" t="n">
        <v>11</v>
      </c>
      <c r="G680" s="11" t="n">
        <v>1</v>
      </c>
      <c r="H680" s="13" t="n">
        <v>72</v>
      </c>
      <c r="I680" s="16" t="n">
        <v>0</v>
      </c>
      <c r="J680" s="13" t="n">
        <f aca="false">G680*H680</f>
        <v>72</v>
      </c>
      <c r="K680" s="13" t="n">
        <f aca="false">J680*(1-I680)</f>
        <v>72</v>
      </c>
    </row>
    <row r="681" customFormat="false" ht="15" hidden="false" customHeight="false" outlineLevel="0" collapsed="false">
      <c r="A681" s="11" t="n">
        <v>680</v>
      </c>
      <c r="B681" s="15" t="n">
        <v>45889</v>
      </c>
      <c r="C681" s="11" t="n">
        <v>2</v>
      </c>
      <c r="D681" s="11" t="n">
        <v>4</v>
      </c>
      <c r="E681" s="11" t="n">
        <v>40</v>
      </c>
      <c r="F681" s="11" t="n">
        <v>19</v>
      </c>
      <c r="G681" s="11" t="n">
        <v>1</v>
      </c>
      <c r="H681" s="13" t="n">
        <v>125</v>
      </c>
      <c r="I681" s="16" t="n">
        <v>0</v>
      </c>
      <c r="J681" s="13" t="n">
        <f aca="false">G681*H681</f>
        <v>125</v>
      </c>
      <c r="K681" s="13" t="n">
        <f aca="false">J681*(1-I681)</f>
        <v>125</v>
      </c>
    </row>
    <row r="682" customFormat="false" ht="15" hidden="false" customHeight="false" outlineLevel="0" collapsed="false">
      <c r="A682" s="11" t="n">
        <v>681</v>
      </c>
      <c r="B682" s="15" t="n">
        <v>45890</v>
      </c>
      <c r="C682" s="11" t="n">
        <v>4</v>
      </c>
      <c r="D682" s="11" t="n">
        <v>8</v>
      </c>
      <c r="E682" s="11" t="n">
        <v>43</v>
      </c>
      <c r="F682" s="11" t="n">
        <v>17</v>
      </c>
      <c r="G682" s="11" t="n">
        <v>1</v>
      </c>
      <c r="H682" s="13" t="n">
        <v>28</v>
      </c>
      <c r="I682" s="16" t="n">
        <v>0</v>
      </c>
      <c r="J682" s="13" t="n">
        <f aca="false">G682*H682</f>
        <v>28</v>
      </c>
      <c r="K682" s="13" t="n">
        <f aca="false">J682*(1-I682)</f>
        <v>28</v>
      </c>
    </row>
    <row r="683" customFormat="false" ht="15" hidden="false" customHeight="false" outlineLevel="0" collapsed="false">
      <c r="A683" s="11" t="n">
        <v>682</v>
      </c>
      <c r="B683" s="15" t="n">
        <v>45890</v>
      </c>
      <c r="C683" s="11" t="n">
        <v>3</v>
      </c>
      <c r="D683" s="11" t="n">
        <v>6</v>
      </c>
      <c r="E683" s="11" t="n">
        <v>46</v>
      </c>
      <c r="F683" s="11" t="n">
        <v>5</v>
      </c>
      <c r="G683" s="11" t="n">
        <v>1</v>
      </c>
      <c r="H683" s="13" t="n">
        <v>58</v>
      </c>
      <c r="I683" s="16" t="n">
        <v>0</v>
      </c>
      <c r="J683" s="13" t="n">
        <f aca="false">G683*H683</f>
        <v>58</v>
      </c>
      <c r="K683" s="13" t="n">
        <f aca="false">J683*(1-I683)</f>
        <v>58</v>
      </c>
    </row>
    <row r="684" customFormat="false" ht="15" hidden="false" customHeight="false" outlineLevel="0" collapsed="false">
      <c r="A684" s="11" t="n">
        <v>683</v>
      </c>
      <c r="B684" s="15" t="n">
        <v>45890</v>
      </c>
      <c r="C684" s="11" t="n">
        <v>3</v>
      </c>
      <c r="D684" s="11" t="n">
        <v>7</v>
      </c>
      <c r="E684" s="11" t="n">
        <v>27</v>
      </c>
      <c r="F684" s="11" t="n">
        <v>15</v>
      </c>
      <c r="G684" s="11" t="n">
        <v>1</v>
      </c>
      <c r="H684" s="13" t="n">
        <v>65</v>
      </c>
      <c r="I684" s="16" t="n">
        <v>0</v>
      </c>
      <c r="J684" s="13" t="n">
        <f aca="false">G684*H684</f>
        <v>65</v>
      </c>
      <c r="K684" s="13" t="n">
        <f aca="false">J684*(1-I684)</f>
        <v>65</v>
      </c>
    </row>
    <row r="685" customFormat="false" ht="15" hidden="false" customHeight="false" outlineLevel="0" collapsed="false">
      <c r="A685" s="11" t="n">
        <v>684</v>
      </c>
      <c r="B685" s="15" t="n">
        <v>45890</v>
      </c>
      <c r="C685" s="11" t="n">
        <v>4</v>
      </c>
      <c r="D685" s="11" t="n">
        <v>8</v>
      </c>
      <c r="E685" s="11" t="n">
        <v>22</v>
      </c>
      <c r="F685" s="11" t="n">
        <v>1</v>
      </c>
      <c r="G685" s="11" t="n">
        <v>2</v>
      </c>
      <c r="H685" s="13" t="n">
        <v>35</v>
      </c>
      <c r="I685" s="16" t="n">
        <v>0</v>
      </c>
      <c r="J685" s="13" t="n">
        <f aca="false">G685*H685</f>
        <v>70</v>
      </c>
      <c r="K685" s="13" t="n">
        <f aca="false">J685*(1-I685)</f>
        <v>70</v>
      </c>
    </row>
    <row r="686" customFormat="false" ht="15" hidden="false" customHeight="false" outlineLevel="0" collapsed="false">
      <c r="A686" s="11" t="n">
        <v>685</v>
      </c>
      <c r="B686" s="15" t="n">
        <v>45890</v>
      </c>
      <c r="C686" s="11" t="n">
        <v>4</v>
      </c>
      <c r="D686" s="11" t="n">
        <v>8</v>
      </c>
      <c r="E686" s="11" t="n">
        <v>49</v>
      </c>
      <c r="F686" s="11" t="n">
        <v>19</v>
      </c>
      <c r="G686" s="11" t="n">
        <v>1</v>
      </c>
      <c r="H686" s="13" t="n">
        <v>125</v>
      </c>
      <c r="I686" s="16" t="n">
        <v>0.05</v>
      </c>
      <c r="J686" s="13" t="n">
        <f aca="false">G686*H686</f>
        <v>125</v>
      </c>
      <c r="K686" s="13" t="n">
        <f aca="false">J686*(1-I686)</f>
        <v>118.75</v>
      </c>
    </row>
    <row r="687" customFormat="false" ht="15" hidden="false" customHeight="false" outlineLevel="0" collapsed="false">
      <c r="A687" s="11" t="n">
        <v>686</v>
      </c>
      <c r="B687" s="15" t="n">
        <v>45890</v>
      </c>
      <c r="C687" s="11" t="n">
        <v>4</v>
      </c>
      <c r="D687" s="11" t="n">
        <v>8</v>
      </c>
      <c r="E687" s="11" t="n">
        <v>34</v>
      </c>
      <c r="F687" s="11" t="n">
        <v>4</v>
      </c>
      <c r="G687" s="11" t="n">
        <v>1</v>
      </c>
      <c r="H687" s="13" t="n">
        <v>55</v>
      </c>
      <c r="I687" s="16" t="n">
        <v>0.05</v>
      </c>
      <c r="J687" s="13" t="n">
        <f aca="false">G687*H687</f>
        <v>55</v>
      </c>
      <c r="K687" s="13" t="n">
        <f aca="false">J687*(1-I687)</f>
        <v>52.25</v>
      </c>
    </row>
    <row r="688" customFormat="false" ht="15" hidden="false" customHeight="false" outlineLevel="0" collapsed="false">
      <c r="A688" s="11" t="n">
        <v>687</v>
      </c>
      <c r="B688" s="15" t="n">
        <v>45890</v>
      </c>
      <c r="C688" s="11" t="n">
        <v>3</v>
      </c>
      <c r="D688" s="11" t="n">
        <v>6</v>
      </c>
      <c r="E688" s="11" t="n">
        <v>49</v>
      </c>
      <c r="F688" s="11" t="n">
        <v>8</v>
      </c>
      <c r="G688" s="11" t="n">
        <v>1</v>
      </c>
      <c r="H688" s="13" t="n">
        <v>52</v>
      </c>
      <c r="I688" s="16" t="n">
        <v>0.05</v>
      </c>
      <c r="J688" s="13" t="n">
        <f aca="false">G688*H688</f>
        <v>52</v>
      </c>
      <c r="K688" s="13" t="n">
        <f aca="false">J688*(1-I688)</f>
        <v>49.4</v>
      </c>
    </row>
    <row r="689" customFormat="false" ht="15" hidden="false" customHeight="false" outlineLevel="0" collapsed="false">
      <c r="A689" s="11" t="n">
        <v>688</v>
      </c>
      <c r="B689" s="15" t="n">
        <v>45890</v>
      </c>
      <c r="C689" s="11" t="n">
        <v>3</v>
      </c>
      <c r="D689" s="11" t="n">
        <v>7</v>
      </c>
      <c r="E689" s="11" t="n">
        <v>27</v>
      </c>
      <c r="F689" s="11" t="n">
        <v>16</v>
      </c>
      <c r="G689" s="11" t="n">
        <v>2</v>
      </c>
      <c r="H689" s="13" t="n">
        <v>45</v>
      </c>
      <c r="I689" s="16" t="n">
        <v>0</v>
      </c>
      <c r="J689" s="13" t="n">
        <f aca="false">G689*H689</f>
        <v>90</v>
      </c>
      <c r="K689" s="13" t="n">
        <f aca="false">J689*(1-I689)</f>
        <v>90</v>
      </c>
    </row>
    <row r="690" customFormat="false" ht="15" hidden="false" customHeight="false" outlineLevel="0" collapsed="false">
      <c r="A690" s="11" t="n">
        <v>689</v>
      </c>
      <c r="B690" s="15" t="n">
        <v>45891</v>
      </c>
      <c r="C690" s="11" t="n">
        <v>3</v>
      </c>
      <c r="D690" s="11" t="n">
        <v>6</v>
      </c>
      <c r="E690" s="11" t="n">
        <v>29</v>
      </c>
      <c r="F690" s="11" t="n">
        <v>18</v>
      </c>
      <c r="G690" s="11" t="n">
        <v>1</v>
      </c>
      <c r="H690" s="13" t="n">
        <v>95</v>
      </c>
      <c r="I690" s="16" t="n">
        <v>0</v>
      </c>
      <c r="J690" s="13" t="n">
        <f aca="false">G690*H690</f>
        <v>95</v>
      </c>
      <c r="K690" s="13" t="n">
        <f aca="false">J690*(1-I690)</f>
        <v>95</v>
      </c>
    </row>
    <row r="691" customFormat="false" ht="15" hidden="false" customHeight="false" outlineLevel="0" collapsed="false">
      <c r="A691" s="11" t="n">
        <v>690</v>
      </c>
      <c r="B691" s="15" t="n">
        <v>45891</v>
      </c>
      <c r="C691" s="11" t="n">
        <v>4</v>
      </c>
      <c r="D691" s="11" t="n">
        <v>8</v>
      </c>
      <c r="E691" s="11" t="n">
        <v>26</v>
      </c>
      <c r="F691" s="11" t="n">
        <v>9</v>
      </c>
      <c r="G691" s="11" t="n">
        <v>3</v>
      </c>
      <c r="H691" s="13" t="n">
        <v>40</v>
      </c>
      <c r="I691" s="16" t="n">
        <v>0</v>
      </c>
      <c r="J691" s="13" t="n">
        <f aca="false">G691*H691</f>
        <v>120</v>
      </c>
      <c r="K691" s="13" t="n">
        <f aca="false">J691*(1-I691)</f>
        <v>120</v>
      </c>
    </row>
    <row r="692" customFormat="false" ht="15" hidden="false" customHeight="false" outlineLevel="0" collapsed="false">
      <c r="A692" s="11" t="n">
        <v>691</v>
      </c>
      <c r="B692" s="15" t="n">
        <v>45891</v>
      </c>
      <c r="C692" s="11" t="n">
        <v>3</v>
      </c>
      <c r="D692" s="11" t="n">
        <v>6</v>
      </c>
      <c r="E692" s="11" t="n">
        <v>34</v>
      </c>
      <c r="F692" s="11" t="n">
        <v>19</v>
      </c>
      <c r="G692" s="11" t="n">
        <v>1</v>
      </c>
      <c r="H692" s="13" t="n">
        <v>125</v>
      </c>
      <c r="I692" s="16" t="n">
        <v>0.1</v>
      </c>
      <c r="J692" s="13" t="n">
        <f aca="false">G692*H692</f>
        <v>125</v>
      </c>
      <c r="K692" s="13" t="n">
        <f aca="false">J692*(1-I692)</f>
        <v>112.5</v>
      </c>
    </row>
    <row r="693" customFormat="false" ht="15" hidden="false" customHeight="false" outlineLevel="0" collapsed="false">
      <c r="A693" s="11" t="n">
        <v>692</v>
      </c>
      <c r="B693" s="15" t="n">
        <v>45892</v>
      </c>
      <c r="C693" s="11" t="n">
        <v>4</v>
      </c>
      <c r="D693" s="11" t="n">
        <v>8</v>
      </c>
      <c r="E693" s="11" t="n">
        <v>19</v>
      </c>
      <c r="F693" s="11" t="n">
        <v>3</v>
      </c>
      <c r="G693" s="11" t="n">
        <v>1</v>
      </c>
      <c r="H693" s="13" t="n">
        <v>38</v>
      </c>
      <c r="I693" s="16" t="n">
        <v>0</v>
      </c>
      <c r="J693" s="13" t="n">
        <f aca="false">G693*H693</f>
        <v>38</v>
      </c>
      <c r="K693" s="13" t="n">
        <f aca="false">J693*(1-I693)</f>
        <v>38</v>
      </c>
    </row>
    <row r="694" customFormat="false" ht="15" hidden="false" customHeight="false" outlineLevel="0" collapsed="false">
      <c r="A694" s="11" t="n">
        <v>693</v>
      </c>
      <c r="B694" s="15" t="n">
        <v>45892</v>
      </c>
      <c r="C694" s="11" t="n">
        <v>5</v>
      </c>
      <c r="D694" s="11" t="n">
        <v>10</v>
      </c>
      <c r="E694" s="11" t="n">
        <v>35</v>
      </c>
      <c r="F694" s="11" t="n">
        <v>14</v>
      </c>
      <c r="G694" s="11" t="n">
        <v>1</v>
      </c>
      <c r="H694" s="13" t="n">
        <v>38</v>
      </c>
      <c r="I694" s="16" t="n">
        <v>0</v>
      </c>
      <c r="J694" s="13" t="n">
        <f aca="false">G694*H694</f>
        <v>38</v>
      </c>
      <c r="K694" s="13" t="n">
        <f aca="false">J694*(1-I694)</f>
        <v>38</v>
      </c>
    </row>
    <row r="695" customFormat="false" ht="15" hidden="false" customHeight="false" outlineLevel="0" collapsed="false">
      <c r="A695" s="11" t="n">
        <v>694</v>
      </c>
      <c r="B695" s="15" t="n">
        <v>45893</v>
      </c>
      <c r="C695" s="11" t="n">
        <v>2</v>
      </c>
      <c r="D695" s="11" t="n">
        <v>4</v>
      </c>
      <c r="E695" s="11" t="n">
        <v>13</v>
      </c>
      <c r="F695" s="11" t="n">
        <v>11</v>
      </c>
      <c r="G695" s="11" t="n">
        <v>1</v>
      </c>
      <c r="H695" s="13" t="n">
        <v>72</v>
      </c>
      <c r="I695" s="16" t="n">
        <v>0</v>
      </c>
      <c r="J695" s="13" t="n">
        <f aca="false">G695*H695</f>
        <v>72</v>
      </c>
      <c r="K695" s="13" t="n">
        <f aca="false">J695*(1-I695)</f>
        <v>72</v>
      </c>
    </row>
    <row r="696" customFormat="false" ht="15" hidden="false" customHeight="false" outlineLevel="0" collapsed="false">
      <c r="A696" s="11" t="n">
        <v>695</v>
      </c>
      <c r="B696" s="15" t="n">
        <v>45893</v>
      </c>
      <c r="C696" s="11" t="n">
        <v>2</v>
      </c>
      <c r="D696" s="11" t="n">
        <v>5</v>
      </c>
      <c r="E696" s="11" t="n">
        <v>40</v>
      </c>
      <c r="F696" s="11" t="n">
        <v>17</v>
      </c>
      <c r="G696" s="11" t="n">
        <v>1</v>
      </c>
      <c r="H696" s="13" t="n">
        <v>28</v>
      </c>
      <c r="I696" s="16" t="n">
        <v>0.1</v>
      </c>
      <c r="J696" s="13" t="n">
        <f aca="false">G696*H696</f>
        <v>28</v>
      </c>
      <c r="K696" s="13" t="n">
        <f aca="false">J696*(1-I696)</f>
        <v>25.2</v>
      </c>
    </row>
    <row r="697" customFormat="false" ht="15" hidden="false" customHeight="false" outlineLevel="0" collapsed="false">
      <c r="A697" s="11" t="n">
        <v>696</v>
      </c>
      <c r="B697" s="15" t="n">
        <v>45894</v>
      </c>
      <c r="C697" s="11" t="n">
        <v>3</v>
      </c>
      <c r="D697" s="11" t="n">
        <v>6</v>
      </c>
      <c r="E697" s="11" t="n">
        <v>11</v>
      </c>
      <c r="F697" s="11" t="n">
        <v>4</v>
      </c>
      <c r="G697" s="11" t="n">
        <v>1</v>
      </c>
      <c r="H697" s="13" t="n">
        <v>55</v>
      </c>
      <c r="I697" s="16" t="n">
        <v>0</v>
      </c>
      <c r="J697" s="13" t="n">
        <f aca="false">G697*H697</f>
        <v>55</v>
      </c>
      <c r="K697" s="13" t="n">
        <f aca="false">J697*(1-I697)</f>
        <v>55</v>
      </c>
    </row>
    <row r="698" customFormat="false" ht="15" hidden="false" customHeight="false" outlineLevel="0" collapsed="false">
      <c r="A698" s="11" t="n">
        <v>697</v>
      </c>
      <c r="B698" s="15" t="n">
        <v>45894</v>
      </c>
      <c r="C698" s="11" t="n">
        <v>3</v>
      </c>
      <c r="D698" s="11" t="n">
        <v>6</v>
      </c>
      <c r="E698" s="11" t="n">
        <v>48</v>
      </c>
      <c r="F698" s="11" t="n">
        <v>15</v>
      </c>
      <c r="G698" s="11" t="n">
        <v>1</v>
      </c>
      <c r="H698" s="13" t="n">
        <v>65</v>
      </c>
      <c r="I698" s="16" t="n">
        <v>0</v>
      </c>
      <c r="J698" s="13" t="n">
        <f aca="false">G698*H698</f>
        <v>65</v>
      </c>
      <c r="K698" s="13" t="n">
        <f aca="false">J698*(1-I698)</f>
        <v>65</v>
      </c>
    </row>
    <row r="699" customFormat="false" ht="15" hidden="false" customHeight="false" outlineLevel="0" collapsed="false">
      <c r="A699" s="11" t="n">
        <v>698</v>
      </c>
      <c r="B699" s="15" t="n">
        <v>45894</v>
      </c>
      <c r="C699" s="11" t="n">
        <v>2</v>
      </c>
      <c r="D699" s="11" t="n">
        <v>5</v>
      </c>
      <c r="E699" s="11" t="n">
        <v>38</v>
      </c>
      <c r="F699" s="11" t="n">
        <v>16</v>
      </c>
      <c r="G699" s="11" t="n">
        <v>2</v>
      </c>
      <c r="H699" s="13" t="n">
        <v>45</v>
      </c>
      <c r="I699" s="16" t="n">
        <v>0.15</v>
      </c>
      <c r="J699" s="13" t="n">
        <f aca="false">G699*H699</f>
        <v>90</v>
      </c>
      <c r="K699" s="13" t="n">
        <f aca="false">J699*(1-I699)</f>
        <v>76.5</v>
      </c>
    </row>
    <row r="700" customFormat="false" ht="15" hidden="false" customHeight="false" outlineLevel="0" collapsed="false">
      <c r="A700" s="11" t="n">
        <v>699</v>
      </c>
      <c r="B700" s="15" t="n">
        <v>45894</v>
      </c>
      <c r="C700" s="11" t="n">
        <v>1</v>
      </c>
      <c r="D700" s="11" t="n">
        <v>3</v>
      </c>
      <c r="E700" s="11" t="n">
        <v>30</v>
      </c>
      <c r="F700" s="11" t="n">
        <v>15</v>
      </c>
      <c r="G700" s="11" t="n">
        <v>2</v>
      </c>
      <c r="H700" s="13" t="n">
        <v>65</v>
      </c>
      <c r="I700" s="16" t="n">
        <v>0</v>
      </c>
      <c r="J700" s="13" t="n">
        <f aca="false">G700*H700</f>
        <v>130</v>
      </c>
      <c r="K700" s="13" t="n">
        <f aca="false">J700*(1-I700)</f>
        <v>130</v>
      </c>
    </row>
    <row r="701" customFormat="false" ht="15" hidden="false" customHeight="false" outlineLevel="0" collapsed="false">
      <c r="A701" s="11" t="n">
        <v>700</v>
      </c>
      <c r="B701" s="15" t="n">
        <v>45895</v>
      </c>
      <c r="C701" s="11" t="n">
        <v>5</v>
      </c>
      <c r="D701" s="11" t="n">
        <v>10</v>
      </c>
      <c r="E701" s="11" t="n">
        <v>49</v>
      </c>
      <c r="F701" s="11" t="n">
        <v>8</v>
      </c>
      <c r="G701" s="11" t="n">
        <v>2</v>
      </c>
      <c r="H701" s="13" t="n">
        <v>52</v>
      </c>
      <c r="I701" s="16" t="n">
        <v>0.15</v>
      </c>
      <c r="J701" s="13" t="n">
        <f aca="false">G701*H701</f>
        <v>104</v>
      </c>
      <c r="K701" s="13" t="n">
        <f aca="false">J701*(1-I701)</f>
        <v>88.4</v>
      </c>
    </row>
    <row r="702" customFormat="false" ht="15" hidden="false" customHeight="false" outlineLevel="0" collapsed="false">
      <c r="A702" s="11" t="n">
        <v>701</v>
      </c>
      <c r="B702" s="15" t="n">
        <v>45895</v>
      </c>
      <c r="C702" s="11" t="n">
        <v>1</v>
      </c>
      <c r="D702" s="11" t="n">
        <v>1</v>
      </c>
      <c r="E702" s="11" t="n">
        <v>27</v>
      </c>
      <c r="F702" s="11" t="n">
        <v>4</v>
      </c>
      <c r="G702" s="11" t="n">
        <v>1</v>
      </c>
      <c r="H702" s="13" t="n">
        <v>55</v>
      </c>
      <c r="I702" s="16" t="n">
        <v>0</v>
      </c>
      <c r="J702" s="13" t="n">
        <f aca="false">G702*H702</f>
        <v>55</v>
      </c>
      <c r="K702" s="13" t="n">
        <f aca="false">J702*(1-I702)</f>
        <v>55</v>
      </c>
    </row>
    <row r="703" customFormat="false" ht="15" hidden="false" customHeight="false" outlineLevel="0" collapsed="false">
      <c r="A703" s="11" t="n">
        <v>702</v>
      </c>
      <c r="B703" s="15" t="n">
        <v>45895</v>
      </c>
      <c r="C703" s="11" t="n">
        <v>1</v>
      </c>
      <c r="D703" s="11" t="n">
        <v>2</v>
      </c>
      <c r="E703" s="11" t="n">
        <v>24</v>
      </c>
      <c r="F703" s="11" t="n">
        <v>14</v>
      </c>
      <c r="G703" s="11" t="n">
        <v>1</v>
      </c>
      <c r="H703" s="13" t="n">
        <v>38</v>
      </c>
      <c r="I703" s="16" t="n">
        <v>0</v>
      </c>
      <c r="J703" s="13" t="n">
        <f aca="false">G703*H703</f>
        <v>38</v>
      </c>
      <c r="K703" s="13" t="n">
        <f aca="false">J703*(1-I703)</f>
        <v>38</v>
      </c>
    </row>
    <row r="704" customFormat="false" ht="15" hidden="false" customHeight="false" outlineLevel="0" collapsed="false">
      <c r="A704" s="11" t="n">
        <v>703</v>
      </c>
      <c r="B704" s="15" t="n">
        <v>45895</v>
      </c>
      <c r="C704" s="11" t="n">
        <v>3</v>
      </c>
      <c r="D704" s="11" t="n">
        <v>7</v>
      </c>
      <c r="E704" s="11" t="n">
        <v>48</v>
      </c>
      <c r="F704" s="11" t="n">
        <v>19</v>
      </c>
      <c r="G704" s="11" t="n">
        <v>1</v>
      </c>
      <c r="H704" s="13" t="n">
        <v>125</v>
      </c>
      <c r="I704" s="16" t="n">
        <v>0</v>
      </c>
      <c r="J704" s="13" t="n">
        <f aca="false">G704*H704</f>
        <v>125</v>
      </c>
      <c r="K704" s="13" t="n">
        <f aca="false">J704*(1-I704)</f>
        <v>125</v>
      </c>
    </row>
    <row r="705" customFormat="false" ht="15" hidden="false" customHeight="false" outlineLevel="0" collapsed="false">
      <c r="A705" s="11" t="n">
        <v>704</v>
      </c>
      <c r="B705" s="15" t="n">
        <v>45895</v>
      </c>
      <c r="C705" s="11" t="n">
        <v>3</v>
      </c>
      <c r="D705" s="11" t="n">
        <v>7</v>
      </c>
      <c r="E705" s="11" t="n">
        <v>45</v>
      </c>
      <c r="F705" s="11" t="n">
        <v>12</v>
      </c>
      <c r="G705" s="11" t="n">
        <v>3</v>
      </c>
      <c r="H705" s="13" t="n">
        <v>45</v>
      </c>
      <c r="I705" s="16" t="n">
        <v>0</v>
      </c>
      <c r="J705" s="13" t="n">
        <f aca="false">G705*H705</f>
        <v>135</v>
      </c>
      <c r="K705" s="13" t="n">
        <f aca="false">J705*(1-I705)</f>
        <v>135</v>
      </c>
    </row>
    <row r="706" customFormat="false" ht="15" hidden="false" customHeight="false" outlineLevel="0" collapsed="false">
      <c r="A706" s="11" t="n">
        <v>705</v>
      </c>
      <c r="B706" s="15" t="n">
        <v>45895</v>
      </c>
      <c r="C706" s="11" t="n">
        <v>4</v>
      </c>
      <c r="D706" s="11" t="n">
        <v>9</v>
      </c>
      <c r="E706" s="11" t="n">
        <v>36</v>
      </c>
      <c r="F706" s="11" t="n">
        <v>4</v>
      </c>
      <c r="G706" s="11" t="n">
        <v>2</v>
      </c>
      <c r="H706" s="13" t="n">
        <v>55</v>
      </c>
      <c r="I706" s="16" t="n">
        <v>0</v>
      </c>
      <c r="J706" s="13" t="n">
        <f aca="false">G706*H706</f>
        <v>110</v>
      </c>
      <c r="K706" s="13" t="n">
        <f aca="false">J706*(1-I706)</f>
        <v>110</v>
      </c>
    </row>
    <row r="707" customFormat="false" ht="15" hidden="false" customHeight="false" outlineLevel="0" collapsed="false">
      <c r="A707" s="11" t="n">
        <v>706</v>
      </c>
      <c r="B707" s="15" t="n">
        <v>45895</v>
      </c>
      <c r="C707" s="11" t="n">
        <v>5</v>
      </c>
      <c r="D707" s="11" t="n">
        <v>10</v>
      </c>
      <c r="E707" s="11" t="n">
        <v>33</v>
      </c>
      <c r="F707" s="11" t="n">
        <v>3</v>
      </c>
      <c r="G707" s="11" t="n">
        <v>1</v>
      </c>
      <c r="H707" s="13" t="n">
        <v>38</v>
      </c>
      <c r="I707" s="16" t="n">
        <v>0</v>
      </c>
      <c r="J707" s="13" t="n">
        <f aca="false">G707*H707</f>
        <v>38</v>
      </c>
      <c r="K707" s="13" t="n">
        <f aca="false">J707*(1-I707)</f>
        <v>38</v>
      </c>
    </row>
    <row r="708" customFormat="false" ht="15" hidden="false" customHeight="false" outlineLevel="0" collapsed="false">
      <c r="A708" s="11" t="n">
        <v>707</v>
      </c>
      <c r="B708" s="15" t="n">
        <v>45896</v>
      </c>
      <c r="C708" s="11" t="n">
        <v>1</v>
      </c>
      <c r="D708" s="11" t="n">
        <v>2</v>
      </c>
      <c r="E708" s="11" t="n">
        <v>23</v>
      </c>
      <c r="F708" s="11" t="n">
        <v>5</v>
      </c>
      <c r="G708" s="11" t="n">
        <v>1</v>
      </c>
      <c r="H708" s="13" t="n">
        <v>58</v>
      </c>
      <c r="I708" s="16" t="n">
        <v>0.1</v>
      </c>
      <c r="J708" s="13" t="n">
        <f aca="false">G708*H708</f>
        <v>58</v>
      </c>
      <c r="K708" s="13" t="n">
        <f aca="false">J708*(1-I708)</f>
        <v>52.2</v>
      </c>
    </row>
    <row r="709" customFormat="false" ht="15" hidden="false" customHeight="false" outlineLevel="0" collapsed="false">
      <c r="A709" s="11" t="n">
        <v>708</v>
      </c>
      <c r="B709" s="15" t="n">
        <v>45896</v>
      </c>
      <c r="C709" s="11" t="n">
        <v>2</v>
      </c>
      <c r="D709" s="11" t="n">
        <v>5</v>
      </c>
      <c r="E709" s="11" t="n">
        <v>26</v>
      </c>
      <c r="F709" s="11" t="n">
        <v>20</v>
      </c>
      <c r="G709" s="11" t="n">
        <v>4</v>
      </c>
      <c r="H709" s="13" t="n">
        <v>88</v>
      </c>
      <c r="I709" s="16" t="n">
        <v>0</v>
      </c>
      <c r="J709" s="13" t="n">
        <f aca="false">G709*H709</f>
        <v>352</v>
      </c>
      <c r="K709" s="13" t="n">
        <f aca="false">J709*(1-I709)</f>
        <v>352</v>
      </c>
    </row>
    <row r="710" customFormat="false" ht="15" hidden="false" customHeight="false" outlineLevel="0" collapsed="false">
      <c r="A710" s="11" t="n">
        <v>709</v>
      </c>
      <c r="B710" s="15" t="n">
        <v>45896</v>
      </c>
      <c r="C710" s="11" t="n">
        <v>2</v>
      </c>
      <c r="D710" s="11" t="n">
        <v>4</v>
      </c>
      <c r="E710" s="11" t="n">
        <v>27</v>
      </c>
      <c r="F710" s="11" t="n">
        <v>6</v>
      </c>
      <c r="G710" s="11" t="n">
        <v>1</v>
      </c>
      <c r="H710" s="13" t="n">
        <v>62</v>
      </c>
      <c r="I710" s="16" t="n">
        <v>0</v>
      </c>
      <c r="J710" s="13" t="n">
        <f aca="false">G710*H710</f>
        <v>62</v>
      </c>
      <c r="K710" s="13" t="n">
        <f aca="false">J710*(1-I710)</f>
        <v>62</v>
      </c>
    </row>
    <row r="711" customFormat="false" ht="15" hidden="false" customHeight="false" outlineLevel="0" collapsed="false">
      <c r="A711" s="11" t="n">
        <v>710</v>
      </c>
      <c r="B711" s="15" t="n">
        <v>45897</v>
      </c>
      <c r="C711" s="11" t="n">
        <v>2</v>
      </c>
      <c r="D711" s="11" t="n">
        <v>5</v>
      </c>
      <c r="E711" s="11" t="n">
        <v>25</v>
      </c>
      <c r="F711" s="11" t="n">
        <v>5</v>
      </c>
      <c r="G711" s="11" t="n">
        <v>2</v>
      </c>
      <c r="H711" s="13" t="n">
        <v>58</v>
      </c>
      <c r="I711" s="16" t="n">
        <v>0</v>
      </c>
      <c r="J711" s="13" t="n">
        <f aca="false">G711*H711</f>
        <v>116</v>
      </c>
      <c r="K711" s="13" t="n">
        <f aca="false">J711*(1-I711)</f>
        <v>116</v>
      </c>
    </row>
    <row r="712" customFormat="false" ht="15" hidden="false" customHeight="false" outlineLevel="0" collapsed="false">
      <c r="A712" s="11" t="n">
        <v>711</v>
      </c>
      <c r="B712" s="15" t="n">
        <v>45899</v>
      </c>
      <c r="C712" s="11" t="n">
        <v>2</v>
      </c>
      <c r="D712" s="11" t="n">
        <v>5</v>
      </c>
      <c r="E712" s="11" t="n">
        <v>36</v>
      </c>
      <c r="F712" s="11" t="n">
        <v>11</v>
      </c>
      <c r="G712" s="11" t="n">
        <v>3</v>
      </c>
      <c r="H712" s="13" t="n">
        <v>72</v>
      </c>
      <c r="I712" s="16" t="n">
        <v>0</v>
      </c>
      <c r="J712" s="13" t="n">
        <f aca="false">G712*H712</f>
        <v>216</v>
      </c>
      <c r="K712" s="13" t="n">
        <f aca="false">J712*(1-I712)</f>
        <v>216</v>
      </c>
    </row>
    <row r="713" customFormat="false" ht="15" hidden="false" customHeight="false" outlineLevel="0" collapsed="false">
      <c r="A713" s="11" t="n">
        <v>712</v>
      </c>
      <c r="B713" s="15" t="n">
        <v>45900</v>
      </c>
      <c r="C713" s="11" t="n">
        <v>2</v>
      </c>
      <c r="D713" s="11" t="n">
        <v>4</v>
      </c>
      <c r="E713" s="11" t="n">
        <v>25</v>
      </c>
      <c r="F713" s="11" t="n">
        <v>8</v>
      </c>
      <c r="G713" s="11" t="n">
        <v>1</v>
      </c>
      <c r="H713" s="13" t="n">
        <v>52</v>
      </c>
      <c r="I713" s="16" t="n">
        <v>0</v>
      </c>
      <c r="J713" s="13" t="n">
        <f aca="false">G713*H713</f>
        <v>52</v>
      </c>
      <c r="K713" s="13" t="n">
        <f aca="false">J713*(1-I713)</f>
        <v>52</v>
      </c>
    </row>
    <row r="714" customFormat="false" ht="15" hidden="false" customHeight="false" outlineLevel="0" collapsed="false">
      <c r="A714" s="11" t="n">
        <v>713</v>
      </c>
      <c r="B714" s="15" t="n">
        <v>45900</v>
      </c>
      <c r="C714" s="11" t="n">
        <v>3</v>
      </c>
      <c r="D714" s="11" t="n">
        <v>7</v>
      </c>
      <c r="E714" s="11" t="n">
        <v>57</v>
      </c>
      <c r="F714" s="11" t="n">
        <v>7</v>
      </c>
      <c r="G714" s="11" t="n">
        <v>1</v>
      </c>
      <c r="H714" s="13" t="n">
        <v>50</v>
      </c>
      <c r="I714" s="16" t="n">
        <v>0.05</v>
      </c>
      <c r="J714" s="13" t="n">
        <f aca="false">G714*H714</f>
        <v>50</v>
      </c>
      <c r="K714" s="13" t="n">
        <f aca="false">J714*(1-I714)</f>
        <v>47.5</v>
      </c>
    </row>
    <row r="715" customFormat="false" ht="15" hidden="false" customHeight="false" outlineLevel="0" collapsed="false">
      <c r="A715" s="11" t="n">
        <v>714</v>
      </c>
      <c r="B715" s="15" t="n">
        <v>45900</v>
      </c>
      <c r="C715" s="11" t="n">
        <v>4</v>
      </c>
      <c r="D715" s="11" t="n">
        <v>9</v>
      </c>
      <c r="E715" s="11" t="n">
        <v>34</v>
      </c>
      <c r="F715" s="11" t="n">
        <v>17</v>
      </c>
      <c r="G715" s="11" t="n">
        <v>2</v>
      </c>
      <c r="H715" s="13" t="n">
        <v>28</v>
      </c>
      <c r="I715" s="16" t="n">
        <v>0</v>
      </c>
      <c r="J715" s="13" t="n">
        <f aca="false">G715*H715</f>
        <v>56</v>
      </c>
      <c r="K715" s="13" t="n">
        <f aca="false">J715*(1-I715)</f>
        <v>56</v>
      </c>
    </row>
    <row r="716" customFormat="false" ht="15" hidden="false" customHeight="false" outlineLevel="0" collapsed="false">
      <c r="A716" s="11" t="n">
        <v>715</v>
      </c>
      <c r="B716" s="15" t="n">
        <v>45900</v>
      </c>
      <c r="C716" s="11" t="n">
        <v>4</v>
      </c>
      <c r="D716" s="11" t="n">
        <v>9</v>
      </c>
      <c r="E716" s="11" t="n">
        <v>31</v>
      </c>
      <c r="F716" s="11" t="n">
        <v>11</v>
      </c>
      <c r="G716" s="11" t="n">
        <v>2</v>
      </c>
      <c r="H716" s="13" t="n">
        <v>72</v>
      </c>
      <c r="I716" s="16" t="n">
        <v>0</v>
      </c>
      <c r="J716" s="13" t="n">
        <f aca="false">G716*H716</f>
        <v>144</v>
      </c>
      <c r="K716" s="13" t="n">
        <f aca="false">J716*(1-I716)</f>
        <v>144</v>
      </c>
    </row>
    <row r="717" customFormat="false" ht="15" hidden="false" customHeight="false" outlineLevel="0" collapsed="false">
      <c r="A717" s="11" t="n">
        <v>716</v>
      </c>
      <c r="B717" s="15" t="n">
        <v>45901</v>
      </c>
      <c r="C717" s="11" t="n">
        <v>1</v>
      </c>
      <c r="D717" s="11" t="n">
        <v>3</v>
      </c>
      <c r="E717" s="11" t="n">
        <v>44</v>
      </c>
      <c r="F717" s="11" t="n">
        <v>15</v>
      </c>
      <c r="G717" s="11" t="n">
        <v>1</v>
      </c>
      <c r="H717" s="13" t="n">
        <v>65</v>
      </c>
      <c r="I717" s="16" t="n">
        <v>0</v>
      </c>
      <c r="J717" s="13" t="n">
        <f aca="false">G717*H717</f>
        <v>65</v>
      </c>
      <c r="K717" s="13" t="n">
        <f aca="false">J717*(1-I717)</f>
        <v>65</v>
      </c>
    </row>
    <row r="718" customFormat="false" ht="15" hidden="false" customHeight="false" outlineLevel="0" collapsed="false">
      <c r="A718" s="11" t="n">
        <v>717</v>
      </c>
      <c r="B718" s="15" t="n">
        <v>45901</v>
      </c>
      <c r="C718" s="11" t="n">
        <v>3</v>
      </c>
      <c r="D718" s="11" t="n">
        <v>7</v>
      </c>
      <c r="E718" s="11" t="n">
        <v>42</v>
      </c>
      <c r="F718" s="11" t="n">
        <v>19</v>
      </c>
      <c r="G718" s="11" t="n">
        <v>2</v>
      </c>
      <c r="H718" s="13" t="n">
        <v>125</v>
      </c>
      <c r="I718" s="16" t="n">
        <v>0</v>
      </c>
      <c r="J718" s="13" t="n">
        <f aca="false">G718*H718</f>
        <v>250</v>
      </c>
      <c r="K718" s="13" t="n">
        <f aca="false">J718*(1-I718)</f>
        <v>250</v>
      </c>
    </row>
    <row r="719" customFormat="false" ht="15" hidden="false" customHeight="false" outlineLevel="0" collapsed="false">
      <c r="A719" s="11" t="n">
        <v>718</v>
      </c>
      <c r="B719" s="15" t="n">
        <v>45902</v>
      </c>
      <c r="C719" s="11" t="n">
        <v>1</v>
      </c>
      <c r="D719" s="11" t="n">
        <v>3</v>
      </c>
      <c r="E719" s="11" t="n">
        <v>20</v>
      </c>
      <c r="F719" s="11" t="n">
        <v>3</v>
      </c>
      <c r="G719" s="11" t="n">
        <v>5</v>
      </c>
      <c r="H719" s="13" t="n">
        <v>38</v>
      </c>
      <c r="I719" s="16" t="n">
        <v>0</v>
      </c>
      <c r="J719" s="13" t="n">
        <f aca="false">G719*H719</f>
        <v>190</v>
      </c>
      <c r="K719" s="13" t="n">
        <f aca="false">J719*(1-I719)</f>
        <v>190</v>
      </c>
    </row>
    <row r="720" customFormat="false" ht="15" hidden="false" customHeight="false" outlineLevel="0" collapsed="false">
      <c r="A720" s="11" t="n">
        <v>719</v>
      </c>
      <c r="B720" s="15" t="n">
        <v>45902</v>
      </c>
      <c r="C720" s="11" t="n">
        <v>1</v>
      </c>
      <c r="D720" s="11" t="n">
        <v>2</v>
      </c>
      <c r="E720" s="11" t="n">
        <v>29</v>
      </c>
      <c r="F720" s="11" t="n">
        <v>17</v>
      </c>
      <c r="G720" s="11" t="n">
        <v>1</v>
      </c>
      <c r="H720" s="13" t="n">
        <v>28</v>
      </c>
      <c r="I720" s="16" t="n">
        <v>0</v>
      </c>
      <c r="J720" s="13" t="n">
        <f aca="false">G720*H720</f>
        <v>28</v>
      </c>
      <c r="K720" s="13" t="n">
        <f aca="false">J720*(1-I720)</f>
        <v>28</v>
      </c>
    </row>
    <row r="721" customFormat="false" ht="15" hidden="false" customHeight="false" outlineLevel="0" collapsed="false">
      <c r="A721" s="11" t="n">
        <v>720</v>
      </c>
      <c r="B721" s="15" t="n">
        <v>45902</v>
      </c>
      <c r="C721" s="11" t="n">
        <v>3</v>
      </c>
      <c r="D721" s="11" t="n">
        <v>7</v>
      </c>
      <c r="E721" s="11" t="n">
        <v>49</v>
      </c>
      <c r="F721" s="11" t="n">
        <v>11</v>
      </c>
      <c r="G721" s="11" t="n">
        <v>4</v>
      </c>
      <c r="H721" s="13" t="n">
        <v>72</v>
      </c>
      <c r="I721" s="16" t="n">
        <v>0</v>
      </c>
      <c r="J721" s="13" t="n">
        <f aca="false">G721*H721</f>
        <v>288</v>
      </c>
      <c r="K721" s="13" t="n">
        <f aca="false">J721*(1-I721)</f>
        <v>288</v>
      </c>
    </row>
    <row r="722" customFormat="false" ht="15" hidden="false" customHeight="false" outlineLevel="0" collapsed="false">
      <c r="A722" s="11" t="n">
        <v>721</v>
      </c>
      <c r="B722" s="15" t="n">
        <v>45902</v>
      </c>
      <c r="C722" s="11" t="n">
        <v>4</v>
      </c>
      <c r="D722" s="11" t="n">
        <v>9</v>
      </c>
      <c r="E722" s="11" t="n">
        <v>6</v>
      </c>
      <c r="F722" s="11" t="n">
        <v>2</v>
      </c>
      <c r="G722" s="11" t="n">
        <v>4</v>
      </c>
      <c r="H722" s="13" t="n">
        <v>45</v>
      </c>
      <c r="I722" s="16" t="n">
        <v>0</v>
      </c>
      <c r="J722" s="13" t="n">
        <f aca="false">G722*H722</f>
        <v>180</v>
      </c>
      <c r="K722" s="13" t="n">
        <f aca="false">J722*(1-I722)</f>
        <v>180</v>
      </c>
    </row>
    <row r="723" customFormat="false" ht="15" hidden="false" customHeight="false" outlineLevel="0" collapsed="false">
      <c r="A723" s="11" t="n">
        <v>722</v>
      </c>
      <c r="B723" s="15" t="n">
        <v>45902</v>
      </c>
      <c r="C723" s="11" t="n">
        <v>1</v>
      </c>
      <c r="D723" s="11" t="n">
        <v>2</v>
      </c>
      <c r="E723" s="11" t="n">
        <v>26</v>
      </c>
      <c r="F723" s="11" t="n">
        <v>10</v>
      </c>
      <c r="G723" s="11" t="n">
        <v>2</v>
      </c>
      <c r="H723" s="13" t="n">
        <v>70</v>
      </c>
      <c r="I723" s="16" t="n">
        <v>0</v>
      </c>
      <c r="J723" s="13" t="n">
        <f aca="false">G723*H723</f>
        <v>140</v>
      </c>
      <c r="K723" s="13" t="n">
        <f aca="false">J723*(1-I723)</f>
        <v>140</v>
      </c>
    </row>
    <row r="724" customFormat="false" ht="15" hidden="false" customHeight="false" outlineLevel="0" collapsed="false">
      <c r="A724" s="11" t="n">
        <v>723</v>
      </c>
      <c r="B724" s="15" t="n">
        <v>45903</v>
      </c>
      <c r="C724" s="11" t="n">
        <v>4</v>
      </c>
      <c r="D724" s="11" t="n">
        <v>8</v>
      </c>
      <c r="E724" s="11" t="n">
        <v>44</v>
      </c>
      <c r="F724" s="11" t="n">
        <v>10</v>
      </c>
      <c r="G724" s="11" t="n">
        <v>1</v>
      </c>
      <c r="H724" s="13" t="n">
        <v>70</v>
      </c>
      <c r="I724" s="16" t="n">
        <v>0</v>
      </c>
      <c r="J724" s="13" t="n">
        <f aca="false">G724*H724</f>
        <v>70</v>
      </c>
      <c r="K724" s="13" t="n">
        <f aca="false">J724*(1-I724)</f>
        <v>70</v>
      </c>
    </row>
    <row r="725" customFormat="false" ht="15" hidden="false" customHeight="false" outlineLevel="0" collapsed="false">
      <c r="A725" s="11" t="n">
        <v>724</v>
      </c>
      <c r="B725" s="15" t="n">
        <v>45903</v>
      </c>
      <c r="C725" s="11" t="n">
        <v>4</v>
      </c>
      <c r="D725" s="11" t="n">
        <v>8</v>
      </c>
      <c r="E725" s="11" t="n">
        <v>12</v>
      </c>
      <c r="F725" s="11" t="n">
        <v>19</v>
      </c>
      <c r="G725" s="11" t="n">
        <v>4</v>
      </c>
      <c r="H725" s="13" t="n">
        <v>125</v>
      </c>
      <c r="I725" s="16" t="n">
        <v>0</v>
      </c>
      <c r="J725" s="13" t="n">
        <f aca="false">G725*H725</f>
        <v>500</v>
      </c>
      <c r="K725" s="13" t="n">
        <f aca="false">J725*(1-I725)</f>
        <v>500</v>
      </c>
    </row>
    <row r="726" customFormat="false" ht="15" hidden="false" customHeight="false" outlineLevel="0" collapsed="false">
      <c r="A726" s="11" t="n">
        <v>725</v>
      </c>
      <c r="B726" s="15" t="n">
        <v>45903</v>
      </c>
      <c r="C726" s="11" t="n">
        <v>3</v>
      </c>
      <c r="D726" s="11" t="n">
        <v>6</v>
      </c>
      <c r="E726" s="11" t="n">
        <v>49</v>
      </c>
      <c r="F726" s="11" t="n">
        <v>4</v>
      </c>
      <c r="G726" s="11" t="n">
        <v>2</v>
      </c>
      <c r="H726" s="13" t="n">
        <v>55</v>
      </c>
      <c r="I726" s="16" t="n">
        <v>0</v>
      </c>
      <c r="J726" s="13" t="n">
        <f aca="false">G726*H726</f>
        <v>110</v>
      </c>
      <c r="K726" s="13" t="n">
        <f aca="false">J726*(1-I726)</f>
        <v>110</v>
      </c>
    </row>
    <row r="727" customFormat="false" ht="15" hidden="false" customHeight="false" outlineLevel="0" collapsed="false">
      <c r="A727" s="11" t="n">
        <v>726</v>
      </c>
      <c r="B727" s="15" t="n">
        <v>45903</v>
      </c>
      <c r="C727" s="11" t="n">
        <v>3</v>
      </c>
      <c r="D727" s="11" t="n">
        <v>7</v>
      </c>
      <c r="E727" s="11" t="n">
        <v>44</v>
      </c>
      <c r="F727" s="11" t="n">
        <v>4</v>
      </c>
      <c r="G727" s="11" t="n">
        <v>1</v>
      </c>
      <c r="H727" s="13" t="n">
        <v>55</v>
      </c>
      <c r="I727" s="16" t="n">
        <v>0.05</v>
      </c>
      <c r="J727" s="13" t="n">
        <f aca="false">G727*H727</f>
        <v>55</v>
      </c>
      <c r="K727" s="13" t="n">
        <f aca="false">J727*(1-I727)</f>
        <v>52.25</v>
      </c>
    </row>
    <row r="728" customFormat="false" ht="15" hidden="false" customHeight="false" outlineLevel="0" collapsed="false">
      <c r="A728" s="11" t="n">
        <v>727</v>
      </c>
      <c r="B728" s="15" t="n">
        <v>45904</v>
      </c>
      <c r="C728" s="11" t="n">
        <v>5</v>
      </c>
      <c r="D728" s="11" t="n">
        <v>10</v>
      </c>
      <c r="E728" s="11" t="n">
        <v>12</v>
      </c>
      <c r="F728" s="11" t="n">
        <v>6</v>
      </c>
      <c r="G728" s="11" t="n">
        <v>5</v>
      </c>
      <c r="H728" s="13" t="n">
        <v>62</v>
      </c>
      <c r="I728" s="16" t="n">
        <v>0.05</v>
      </c>
      <c r="J728" s="13" t="n">
        <f aca="false">G728*H728</f>
        <v>310</v>
      </c>
      <c r="K728" s="13" t="n">
        <f aca="false">J728*(1-I728)</f>
        <v>294.5</v>
      </c>
    </row>
    <row r="729" customFormat="false" ht="15" hidden="false" customHeight="false" outlineLevel="0" collapsed="false">
      <c r="A729" s="11" t="n">
        <v>728</v>
      </c>
      <c r="B729" s="15" t="n">
        <v>45904</v>
      </c>
      <c r="C729" s="11" t="n">
        <v>5</v>
      </c>
      <c r="D729" s="11" t="n">
        <v>10</v>
      </c>
      <c r="E729" s="11" t="n">
        <v>7</v>
      </c>
      <c r="F729" s="11" t="n">
        <v>2</v>
      </c>
      <c r="G729" s="11" t="n">
        <v>1</v>
      </c>
      <c r="H729" s="13" t="n">
        <v>45</v>
      </c>
      <c r="I729" s="16" t="n">
        <v>0</v>
      </c>
      <c r="J729" s="13" t="n">
        <f aca="false">G729*H729</f>
        <v>45</v>
      </c>
      <c r="K729" s="13" t="n">
        <f aca="false">J729*(1-I729)</f>
        <v>45</v>
      </c>
    </row>
    <row r="730" customFormat="false" ht="15" hidden="false" customHeight="false" outlineLevel="0" collapsed="false">
      <c r="A730" s="11" t="n">
        <v>729</v>
      </c>
      <c r="B730" s="15" t="n">
        <v>45905</v>
      </c>
      <c r="C730" s="11" t="n">
        <v>1</v>
      </c>
      <c r="D730" s="11" t="n">
        <v>1</v>
      </c>
      <c r="E730" s="11" t="n">
        <v>17</v>
      </c>
      <c r="F730" s="11" t="n">
        <v>7</v>
      </c>
      <c r="G730" s="11" t="n">
        <v>1</v>
      </c>
      <c r="H730" s="13" t="n">
        <v>50</v>
      </c>
      <c r="I730" s="16" t="n">
        <v>0</v>
      </c>
      <c r="J730" s="13" t="n">
        <f aca="false">G730*H730</f>
        <v>50</v>
      </c>
      <c r="K730" s="13" t="n">
        <f aca="false">J730*(1-I730)</f>
        <v>50</v>
      </c>
    </row>
    <row r="731" customFormat="false" ht="15" hidden="false" customHeight="false" outlineLevel="0" collapsed="false">
      <c r="A731" s="11" t="n">
        <v>730</v>
      </c>
      <c r="B731" s="15" t="n">
        <v>45905</v>
      </c>
      <c r="C731" s="11" t="n">
        <v>1</v>
      </c>
      <c r="D731" s="11" t="n">
        <v>3</v>
      </c>
      <c r="E731" s="11" t="n">
        <v>60</v>
      </c>
      <c r="F731" s="11" t="n">
        <v>6</v>
      </c>
      <c r="G731" s="11" t="n">
        <v>1</v>
      </c>
      <c r="H731" s="13" t="n">
        <v>62</v>
      </c>
      <c r="I731" s="16" t="n">
        <v>0.1</v>
      </c>
      <c r="J731" s="13" t="n">
        <f aca="false">G731*H731</f>
        <v>62</v>
      </c>
      <c r="K731" s="13" t="n">
        <f aca="false">J731*(1-I731)</f>
        <v>55.8</v>
      </c>
    </row>
    <row r="732" customFormat="false" ht="15" hidden="false" customHeight="false" outlineLevel="0" collapsed="false">
      <c r="A732" s="11" t="n">
        <v>731</v>
      </c>
      <c r="B732" s="15" t="n">
        <v>45905</v>
      </c>
      <c r="C732" s="11" t="n">
        <v>5</v>
      </c>
      <c r="D732" s="11" t="n">
        <v>10</v>
      </c>
      <c r="E732" s="11" t="n">
        <v>47</v>
      </c>
      <c r="F732" s="11" t="n">
        <v>4</v>
      </c>
      <c r="G732" s="11" t="n">
        <v>3</v>
      </c>
      <c r="H732" s="13" t="n">
        <v>55</v>
      </c>
      <c r="I732" s="16" t="n">
        <v>0</v>
      </c>
      <c r="J732" s="13" t="n">
        <f aca="false">G732*H732</f>
        <v>165</v>
      </c>
      <c r="K732" s="13" t="n">
        <f aca="false">J732*(1-I732)</f>
        <v>165</v>
      </c>
    </row>
    <row r="733" customFormat="false" ht="15" hidden="false" customHeight="false" outlineLevel="0" collapsed="false">
      <c r="A733" s="11" t="n">
        <v>732</v>
      </c>
      <c r="B733" s="15" t="n">
        <v>45905</v>
      </c>
      <c r="C733" s="11" t="n">
        <v>2</v>
      </c>
      <c r="D733" s="11" t="n">
        <v>4</v>
      </c>
      <c r="E733" s="11" t="n">
        <v>16</v>
      </c>
      <c r="F733" s="11" t="n">
        <v>6</v>
      </c>
      <c r="G733" s="11" t="n">
        <v>1</v>
      </c>
      <c r="H733" s="13" t="n">
        <v>62</v>
      </c>
      <c r="I733" s="16" t="n">
        <v>0</v>
      </c>
      <c r="J733" s="13" t="n">
        <f aca="false">G733*H733</f>
        <v>62</v>
      </c>
      <c r="K733" s="13" t="n">
        <f aca="false">J733*(1-I733)</f>
        <v>62</v>
      </c>
    </row>
    <row r="734" customFormat="false" ht="15" hidden="false" customHeight="false" outlineLevel="0" collapsed="false">
      <c r="A734" s="11" t="n">
        <v>733</v>
      </c>
      <c r="B734" s="15" t="n">
        <v>45905</v>
      </c>
      <c r="C734" s="11" t="n">
        <v>1</v>
      </c>
      <c r="D734" s="11" t="n">
        <v>1</v>
      </c>
      <c r="E734" s="11" t="n">
        <v>12</v>
      </c>
      <c r="F734" s="11" t="n">
        <v>2</v>
      </c>
      <c r="G734" s="11" t="n">
        <v>1</v>
      </c>
      <c r="H734" s="13" t="n">
        <v>45</v>
      </c>
      <c r="I734" s="16" t="n">
        <v>0</v>
      </c>
      <c r="J734" s="13" t="n">
        <f aca="false">G734*H734</f>
        <v>45</v>
      </c>
      <c r="K734" s="13" t="n">
        <f aca="false">J734*(1-I734)</f>
        <v>45</v>
      </c>
    </row>
    <row r="735" customFormat="false" ht="15" hidden="false" customHeight="false" outlineLevel="0" collapsed="false">
      <c r="A735" s="11" t="n">
        <v>734</v>
      </c>
      <c r="B735" s="15" t="n">
        <v>45905</v>
      </c>
      <c r="C735" s="11" t="n">
        <v>1</v>
      </c>
      <c r="D735" s="11" t="n">
        <v>3</v>
      </c>
      <c r="E735" s="11" t="n">
        <v>52</v>
      </c>
      <c r="F735" s="11" t="n">
        <v>14</v>
      </c>
      <c r="G735" s="11" t="n">
        <v>3</v>
      </c>
      <c r="H735" s="13" t="n">
        <v>38</v>
      </c>
      <c r="I735" s="16" t="n">
        <v>0.05</v>
      </c>
      <c r="J735" s="13" t="n">
        <f aca="false">G735*H735</f>
        <v>114</v>
      </c>
      <c r="K735" s="13" t="n">
        <f aca="false">J735*(1-I735)</f>
        <v>108.3</v>
      </c>
    </row>
    <row r="736" customFormat="false" ht="15" hidden="false" customHeight="false" outlineLevel="0" collapsed="false">
      <c r="A736" s="11" t="n">
        <v>735</v>
      </c>
      <c r="B736" s="15" t="n">
        <v>45905</v>
      </c>
      <c r="C736" s="11" t="n">
        <v>1</v>
      </c>
      <c r="D736" s="11" t="n">
        <v>3</v>
      </c>
      <c r="E736" s="11" t="n">
        <v>4</v>
      </c>
      <c r="F736" s="11" t="n">
        <v>3</v>
      </c>
      <c r="G736" s="11" t="n">
        <v>1</v>
      </c>
      <c r="H736" s="13" t="n">
        <v>38</v>
      </c>
      <c r="I736" s="16" t="n">
        <v>0</v>
      </c>
      <c r="J736" s="13" t="n">
        <f aca="false">G736*H736</f>
        <v>38</v>
      </c>
      <c r="K736" s="13" t="n">
        <f aca="false">J736*(1-I736)</f>
        <v>38</v>
      </c>
    </row>
    <row r="737" customFormat="false" ht="15" hidden="false" customHeight="false" outlineLevel="0" collapsed="false">
      <c r="A737" s="11" t="n">
        <v>736</v>
      </c>
      <c r="B737" s="15" t="n">
        <v>45906</v>
      </c>
      <c r="C737" s="11" t="n">
        <v>4</v>
      </c>
      <c r="D737" s="11" t="n">
        <v>9</v>
      </c>
      <c r="E737" s="11" t="n">
        <v>15</v>
      </c>
      <c r="F737" s="11" t="n">
        <v>19</v>
      </c>
      <c r="G737" s="11" t="n">
        <v>3</v>
      </c>
      <c r="H737" s="13" t="n">
        <v>125</v>
      </c>
      <c r="I737" s="16" t="n">
        <v>0</v>
      </c>
      <c r="J737" s="13" t="n">
        <f aca="false">G737*H737</f>
        <v>375</v>
      </c>
      <c r="K737" s="13" t="n">
        <f aca="false">J737*(1-I737)</f>
        <v>375</v>
      </c>
    </row>
    <row r="738" customFormat="false" ht="15" hidden="false" customHeight="false" outlineLevel="0" collapsed="false">
      <c r="A738" s="11" t="n">
        <v>737</v>
      </c>
      <c r="B738" s="15" t="n">
        <v>45906</v>
      </c>
      <c r="C738" s="11" t="n">
        <v>2</v>
      </c>
      <c r="D738" s="11" t="n">
        <v>5</v>
      </c>
      <c r="E738" s="11" t="n">
        <v>3</v>
      </c>
      <c r="F738" s="11" t="n">
        <v>6</v>
      </c>
      <c r="G738" s="11" t="n">
        <v>3</v>
      </c>
      <c r="H738" s="13" t="n">
        <v>62</v>
      </c>
      <c r="I738" s="16" t="n">
        <v>0</v>
      </c>
      <c r="J738" s="13" t="n">
        <f aca="false">G738*H738</f>
        <v>186</v>
      </c>
      <c r="K738" s="13" t="n">
        <f aca="false">J738*(1-I738)</f>
        <v>186</v>
      </c>
    </row>
    <row r="739" customFormat="false" ht="15" hidden="false" customHeight="false" outlineLevel="0" collapsed="false">
      <c r="A739" s="11" t="n">
        <v>738</v>
      </c>
      <c r="B739" s="15" t="n">
        <v>45907</v>
      </c>
      <c r="C739" s="11" t="n">
        <v>2</v>
      </c>
      <c r="D739" s="11" t="n">
        <v>4</v>
      </c>
      <c r="E739" s="11" t="n">
        <v>4</v>
      </c>
      <c r="F739" s="11" t="n">
        <v>18</v>
      </c>
      <c r="G739" s="11" t="n">
        <v>1</v>
      </c>
      <c r="H739" s="13" t="n">
        <v>95</v>
      </c>
      <c r="I739" s="16" t="n">
        <v>0.15</v>
      </c>
      <c r="J739" s="13" t="n">
        <f aca="false">G739*H739</f>
        <v>95</v>
      </c>
      <c r="K739" s="13" t="n">
        <f aca="false">J739*(1-I739)</f>
        <v>80.75</v>
      </c>
    </row>
    <row r="740" customFormat="false" ht="15" hidden="false" customHeight="false" outlineLevel="0" collapsed="false">
      <c r="A740" s="11" t="n">
        <v>739</v>
      </c>
      <c r="B740" s="15" t="n">
        <v>45907</v>
      </c>
      <c r="C740" s="11" t="n">
        <v>1</v>
      </c>
      <c r="D740" s="11" t="n">
        <v>1</v>
      </c>
      <c r="E740" s="11" t="n">
        <v>8</v>
      </c>
      <c r="F740" s="11" t="n">
        <v>5</v>
      </c>
      <c r="G740" s="11" t="n">
        <v>2</v>
      </c>
      <c r="H740" s="13" t="n">
        <v>58</v>
      </c>
      <c r="I740" s="16" t="n">
        <v>0.1</v>
      </c>
      <c r="J740" s="13" t="n">
        <f aca="false">G740*H740</f>
        <v>116</v>
      </c>
      <c r="K740" s="13" t="n">
        <f aca="false">J740*(1-I740)</f>
        <v>104.4</v>
      </c>
    </row>
    <row r="741" customFormat="false" ht="15" hidden="false" customHeight="false" outlineLevel="0" collapsed="false">
      <c r="A741" s="11" t="n">
        <v>740</v>
      </c>
      <c r="B741" s="15" t="n">
        <v>45907</v>
      </c>
      <c r="C741" s="11" t="n">
        <v>4</v>
      </c>
      <c r="D741" s="11" t="n">
        <v>8</v>
      </c>
      <c r="E741" s="11" t="n">
        <v>24</v>
      </c>
      <c r="F741" s="11" t="n">
        <v>18</v>
      </c>
      <c r="G741" s="11" t="n">
        <v>5</v>
      </c>
      <c r="H741" s="13" t="n">
        <v>95</v>
      </c>
      <c r="I741" s="16" t="n">
        <v>0</v>
      </c>
      <c r="J741" s="13" t="n">
        <f aca="false">G741*H741</f>
        <v>475</v>
      </c>
      <c r="K741" s="13" t="n">
        <f aca="false">J741*(1-I741)</f>
        <v>475</v>
      </c>
    </row>
    <row r="742" customFormat="false" ht="15" hidden="false" customHeight="false" outlineLevel="0" collapsed="false">
      <c r="A742" s="11" t="n">
        <v>741</v>
      </c>
      <c r="B742" s="15" t="n">
        <v>45907</v>
      </c>
      <c r="C742" s="11" t="n">
        <v>1</v>
      </c>
      <c r="D742" s="11" t="n">
        <v>1</v>
      </c>
      <c r="E742" s="11" t="n">
        <v>29</v>
      </c>
      <c r="F742" s="11" t="n">
        <v>8</v>
      </c>
      <c r="G742" s="11" t="n">
        <v>1</v>
      </c>
      <c r="H742" s="13" t="n">
        <v>52</v>
      </c>
      <c r="I742" s="16" t="n">
        <v>0</v>
      </c>
      <c r="J742" s="13" t="n">
        <f aca="false">G742*H742</f>
        <v>52</v>
      </c>
      <c r="K742" s="13" t="n">
        <f aca="false">J742*(1-I742)</f>
        <v>52</v>
      </c>
    </row>
    <row r="743" customFormat="false" ht="15" hidden="false" customHeight="false" outlineLevel="0" collapsed="false">
      <c r="A743" s="11" t="n">
        <v>742</v>
      </c>
      <c r="B743" s="15" t="n">
        <v>45908</v>
      </c>
      <c r="C743" s="11" t="n">
        <v>3</v>
      </c>
      <c r="D743" s="11" t="n">
        <v>6</v>
      </c>
      <c r="E743" s="11" t="n">
        <v>15</v>
      </c>
      <c r="F743" s="11" t="n">
        <v>15</v>
      </c>
      <c r="G743" s="11" t="n">
        <v>2</v>
      </c>
      <c r="H743" s="13" t="n">
        <v>65</v>
      </c>
      <c r="I743" s="16" t="n">
        <v>0</v>
      </c>
      <c r="J743" s="13" t="n">
        <f aca="false">G743*H743</f>
        <v>130</v>
      </c>
      <c r="K743" s="13" t="n">
        <f aca="false">J743*(1-I743)</f>
        <v>130</v>
      </c>
    </row>
    <row r="744" customFormat="false" ht="15" hidden="false" customHeight="false" outlineLevel="0" collapsed="false">
      <c r="A744" s="11" t="n">
        <v>743</v>
      </c>
      <c r="B744" s="15" t="n">
        <v>45908</v>
      </c>
      <c r="C744" s="11" t="n">
        <v>5</v>
      </c>
      <c r="D744" s="11" t="n">
        <v>10</v>
      </c>
      <c r="E744" s="11" t="n">
        <v>58</v>
      </c>
      <c r="F744" s="11" t="n">
        <v>11</v>
      </c>
      <c r="G744" s="11" t="n">
        <v>1</v>
      </c>
      <c r="H744" s="13" t="n">
        <v>72</v>
      </c>
      <c r="I744" s="16" t="n">
        <v>0</v>
      </c>
      <c r="J744" s="13" t="n">
        <f aca="false">G744*H744</f>
        <v>72</v>
      </c>
      <c r="K744" s="13" t="n">
        <f aca="false">J744*(1-I744)</f>
        <v>72</v>
      </c>
    </row>
    <row r="745" customFormat="false" ht="15" hidden="false" customHeight="false" outlineLevel="0" collapsed="false">
      <c r="A745" s="11" t="n">
        <v>744</v>
      </c>
      <c r="B745" s="15" t="n">
        <v>45908</v>
      </c>
      <c r="C745" s="11" t="n">
        <v>1</v>
      </c>
      <c r="D745" s="11" t="n">
        <v>2</v>
      </c>
      <c r="E745" s="11" t="n">
        <v>32</v>
      </c>
      <c r="F745" s="11" t="n">
        <v>3</v>
      </c>
      <c r="G745" s="11" t="n">
        <v>2</v>
      </c>
      <c r="H745" s="13" t="n">
        <v>38</v>
      </c>
      <c r="I745" s="16" t="n">
        <v>0</v>
      </c>
      <c r="J745" s="13" t="n">
        <f aca="false">G745*H745</f>
        <v>76</v>
      </c>
      <c r="K745" s="13" t="n">
        <f aca="false">J745*(1-I745)</f>
        <v>76</v>
      </c>
    </row>
    <row r="746" customFormat="false" ht="15" hidden="false" customHeight="false" outlineLevel="0" collapsed="false">
      <c r="A746" s="11" t="n">
        <v>745</v>
      </c>
      <c r="B746" s="15" t="n">
        <v>45908</v>
      </c>
      <c r="C746" s="11" t="n">
        <v>4</v>
      </c>
      <c r="D746" s="11" t="n">
        <v>8</v>
      </c>
      <c r="E746" s="11" t="n">
        <v>20</v>
      </c>
      <c r="F746" s="11" t="n">
        <v>19</v>
      </c>
      <c r="G746" s="11" t="n">
        <v>1</v>
      </c>
      <c r="H746" s="13" t="n">
        <v>125</v>
      </c>
      <c r="I746" s="16" t="n">
        <v>0</v>
      </c>
      <c r="J746" s="13" t="n">
        <f aca="false">G746*H746</f>
        <v>125</v>
      </c>
      <c r="K746" s="13" t="n">
        <f aca="false">J746*(1-I746)</f>
        <v>125</v>
      </c>
    </row>
    <row r="747" customFormat="false" ht="15" hidden="false" customHeight="false" outlineLevel="0" collapsed="false">
      <c r="A747" s="11" t="n">
        <v>746</v>
      </c>
      <c r="B747" s="15" t="n">
        <v>45909</v>
      </c>
      <c r="C747" s="11" t="n">
        <v>2</v>
      </c>
      <c r="D747" s="11" t="n">
        <v>5</v>
      </c>
      <c r="E747" s="11" t="n">
        <v>16</v>
      </c>
      <c r="F747" s="11" t="n">
        <v>9</v>
      </c>
      <c r="G747" s="11" t="n">
        <v>1</v>
      </c>
      <c r="H747" s="13" t="n">
        <v>40</v>
      </c>
      <c r="I747" s="16" t="n">
        <v>0.05</v>
      </c>
      <c r="J747" s="13" t="n">
        <f aca="false">G747*H747</f>
        <v>40</v>
      </c>
      <c r="K747" s="13" t="n">
        <f aca="false">J747*(1-I747)</f>
        <v>38</v>
      </c>
    </row>
    <row r="748" customFormat="false" ht="15" hidden="false" customHeight="false" outlineLevel="0" collapsed="false">
      <c r="A748" s="11" t="n">
        <v>747</v>
      </c>
      <c r="B748" s="15" t="n">
        <v>45909</v>
      </c>
      <c r="C748" s="11" t="n">
        <v>1</v>
      </c>
      <c r="D748" s="11" t="n">
        <v>2</v>
      </c>
      <c r="E748" s="11" t="n">
        <v>14</v>
      </c>
      <c r="F748" s="11" t="n">
        <v>15</v>
      </c>
      <c r="G748" s="11" t="n">
        <v>1</v>
      </c>
      <c r="H748" s="13" t="n">
        <v>65</v>
      </c>
      <c r="I748" s="16" t="n">
        <v>0</v>
      </c>
      <c r="J748" s="13" t="n">
        <f aca="false">G748*H748</f>
        <v>65</v>
      </c>
      <c r="K748" s="13" t="n">
        <f aca="false">J748*(1-I748)</f>
        <v>65</v>
      </c>
    </row>
    <row r="749" customFormat="false" ht="15" hidden="false" customHeight="false" outlineLevel="0" collapsed="false">
      <c r="A749" s="11" t="n">
        <v>748</v>
      </c>
      <c r="B749" s="15" t="n">
        <v>45909</v>
      </c>
      <c r="C749" s="11" t="n">
        <v>4</v>
      </c>
      <c r="D749" s="11" t="n">
        <v>9</v>
      </c>
      <c r="E749" s="11" t="n">
        <v>51</v>
      </c>
      <c r="F749" s="11" t="n">
        <v>13</v>
      </c>
      <c r="G749" s="11" t="n">
        <v>1</v>
      </c>
      <c r="H749" s="13" t="n">
        <v>32</v>
      </c>
      <c r="I749" s="16" t="n">
        <v>0.1</v>
      </c>
      <c r="J749" s="13" t="n">
        <f aca="false">G749*H749</f>
        <v>32</v>
      </c>
      <c r="K749" s="13" t="n">
        <f aca="false">J749*(1-I749)</f>
        <v>28.8</v>
      </c>
    </row>
    <row r="750" customFormat="false" ht="15" hidden="false" customHeight="false" outlineLevel="0" collapsed="false">
      <c r="A750" s="11" t="n">
        <v>749</v>
      </c>
      <c r="B750" s="15" t="n">
        <v>45909</v>
      </c>
      <c r="C750" s="11" t="n">
        <v>1</v>
      </c>
      <c r="D750" s="11" t="n">
        <v>1</v>
      </c>
      <c r="E750" s="11" t="n">
        <v>33</v>
      </c>
      <c r="F750" s="11" t="n">
        <v>7</v>
      </c>
      <c r="G750" s="11" t="n">
        <v>5</v>
      </c>
      <c r="H750" s="13" t="n">
        <v>50</v>
      </c>
      <c r="I750" s="16" t="n">
        <v>0</v>
      </c>
      <c r="J750" s="13" t="n">
        <f aca="false">G750*H750</f>
        <v>250</v>
      </c>
      <c r="K750" s="13" t="n">
        <f aca="false">J750*(1-I750)</f>
        <v>250</v>
      </c>
    </row>
    <row r="751" customFormat="false" ht="15" hidden="false" customHeight="false" outlineLevel="0" collapsed="false">
      <c r="A751" s="11" t="n">
        <v>750</v>
      </c>
      <c r="B751" s="15" t="n">
        <v>45909</v>
      </c>
      <c r="C751" s="11" t="n">
        <v>3</v>
      </c>
      <c r="D751" s="11" t="n">
        <v>6</v>
      </c>
      <c r="E751" s="11" t="n">
        <v>27</v>
      </c>
      <c r="F751" s="11" t="n">
        <v>4</v>
      </c>
      <c r="G751" s="11" t="n">
        <v>1</v>
      </c>
      <c r="H751" s="13" t="n">
        <v>55</v>
      </c>
      <c r="I751" s="16" t="n">
        <v>0</v>
      </c>
      <c r="J751" s="13" t="n">
        <f aca="false">G751*H751</f>
        <v>55</v>
      </c>
      <c r="K751" s="13" t="n">
        <f aca="false">J751*(1-I751)</f>
        <v>55</v>
      </c>
    </row>
    <row r="752" customFormat="false" ht="15" hidden="false" customHeight="false" outlineLevel="0" collapsed="false">
      <c r="A752" s="11" t="n">
        <v>751</v>
      </c>
      <c r="B752" s="15" t="n">
        <v>45909</v>
      </c>
      <c r="C752" s="11" t="n">
        <v>1</v>
      </c>
      <c r="D752" s="11" t="n">
        <v>3</v>
      </c>
      <c r="E752" s="11" t="n">
        <v>43</v>
      </c>
      <c r="F752" s="11" t="n">
        <v>6</v>
      </c>
      <c r="G752" s="11" t="n">
        <v>1</v>
      </c>
      <c r="H752" s="13" t="n">
        <v>62</v>
      </c>
      <c r="I752" s="16" t="n">
        <v>0</v>
      </c>
      <c r="J752" s="13" t="n">
        <f aca="false">G752*H752</f>
        <v>62</v>
      </c>
      <c r="K752" s="13" t="n">
        <f aca="false">J752*(1-I752)</f>
        <v>62</v>
      </c>
    </row>
    <row r="753" customFormat="false" ht="15" hidden="false" customHeight="false" outlineLevel="0" collapsed="false">
      <c r="A753" s="11" t="n">
        <v>752</v>
      </c>
      <c r="B753" s="15" t="n">
        <v>45909</v>
      </c>
      <c r="C753" s="11" t="n">
        <v>3</v>
      </c>
      <c r="D753" s="11" t="n">
        <v>7</v>
      </c>
      <c r="E753" s="11" t="n">
        <v>24</v>
      </c>
      <c r="F753" s="11" t="n">
        <v>1</v>
      </c>
      <c r="G753" s="11" t="n">
        <v>1</v>
      </c>
      <c r="H753" s="13" t="n">
        <v>35</v>
      </c>
      <c r="I753" s="16" t="n">
        <v>0</v>
      </c>
      <c r="J753" s="13" t="n">
        <f aca="false">G753*H753</f>
        <v>35</v>
      </c>
      <c r="K753" s="13" t="n">
        <f aca="false">J753*(1-I753)</f>
        <v>35</v>
      </c>
    </row>
    <row r="754" customFormat="false" ht="15" hidden="false" customHeight="false" outlineLevel="0" collapsed="false">
      <c r="A754" s="11" t="n">
        <v>753</v>
      </c>
      <c r="B754" s="15" t="n">
        <v>45910</v>
      </c>
      <c r="C754" s="11" t="n">
        <v>4</v>
      </c>
      <c r="D754" s="11" t="n">
        <v>8</v>
      </c>
      <c r="E754" s="11" t="n">
        <v>38</v>
      </c>
      <c r="F754" s="11" t="n">
        <v>12</v>
      </c>
      <c r="G754" s="11" t="n">
        <v>2</v>
      </c>
      <c r="H754" s="13" t="n">
        <v>45</v>
      </c>
      <c r="I754" s="16" t="n">
        <v>0</v>
      </c>
      <c r="J754" s="13" t="n">
        <f aca="false">G754*H754</f>
        <v>90</v>
      </c>
      <c r="K754" s="13" t="n">
        <f aca="false">J754*(1-I754)</f>
        <v>90</v>
      </c>
    </row>
    <row r="755" customFormat="false" ht="15" hidden="false" customHeight="false" outlineLevel="0" collapsed="false">
      <c r="A755" s="11" t="n">
        <v>754</v>
      </c>
      <c r="B755" s="15" t="n">
        <v>45910</v>
      </c>
      <c r="C755" s="11" t="n">
        <v>2</v>
      </c>
      <c r="D755" s="11" t="n">
        <v>4</v>
      </c>
      <c r="E755" s="11" t="n">
        <v>11</v>
      </c>
      <c r="F755" s="11" t="n">
        <v>15</v>
      </c>
      <c r="G755" s="11" t="n">
        <v>1</v>
      </c>
      <c r="H755" s="13" t="n">
        <v>65</v>
      </c>
      <c r="I755" s="16" t="n">
        <v>0</v>
      </c>
      <c r="J755" s="13" t="n">
        <f aca="false">G755*H755</f>
        <v>65</v>
      </c>
      <c r="K755" s="13" t="n">
        <f aca="false">J755*(1-I755)</f>
        <v>65</v>
      </c>
    </row>
    <row r="756" customFormat="false" ht="15" hidden="false" customHeight="false" outlineLevel="0" collapsed="false">
      <c r="A756" s="11" t="n">
        <v>755</v>
      </c>
      <c r="B756" s="15" t="n">
        <v>45910</v>
      </c>
      <c r="C756" s="11" t="n">
        <v>1</v>
      </c>
      <c r="D756" s="11" t="n">
        <v>2</v>
      </c>
      <c r="E756" s="11" t="n">
        <v>26</v>
      </c>
      <c r="F756" s="11" t="n">
        <v>13</v>
      </c>
      <c r="G756" s="11" t="n">
        <v>2</v>
      </c>
      <c r="H756" s="13" t="n">
        <v>32</v>
      </c>
      <c r="I756" s="16" t="n">
        <v>0</v>
      </c>
      <c r="J756" s="13" t="n">
        <f aca="false">G756*H756</f>
        <v>64</v>
      </c>
      <c r="K756" s="13" t="n">
        <f aca="false">J756*(1-I756)</f>
        <v>64</v>
      </c>
    </row>
    <row r="757" customFormat="false" ht="15" hidden="false" customHeight="false" outlineLevel="0" collapsed="false">
      <c r="A757" s="11" t="n">
        <v>756</v>
      </c>
      <c r="B757" s="15" t="n">
        <v>45910</v>
      </c>
      <c r="C757" s="11" t="n">
        <v>4</v>
      </c>
      <c r="D757" s="11" t="n">
        <v>8</v>
      </c>
      <c r="E757" s="11" t="n">
        <v>46</v>
      </c>
      <c r="F757" s="11" t="n">
        <v>6</v>
      </c>
      <c r="G757" s="11" t="n">
        <v>1</v>
      </c>
      <c r="H757" s="13" t="n">
        <v>62</v>
      </c>
      <c r="I757" s="16" t="n">
        <v>0</v>
      </c>
      <c r="J757" s="13" t="n">
        <f aca="false">G757*H757</f>
        <v>62</v>
      </c>
      <c r="K757" s="13" t="n">
        <f aca="false">J757*(1-I757)</f>
        <v>62</v>
      </c>
    </row>
    <row r="758" customFormat="false" ht="15" hidden="false" customHeight="false" outlineLevel="0" collapsed="false">
      <c r="A758" s="11" t="n">
        <v>757</v>
      </c>
      <c r="B758" s="15" t="n">
        <v>45910</v>
      </c>
      <c r="C758" s="11" t="n">
        <v>3</v>
      </c>
      <c r="D758" s="11" t="n">
        <v>7</v>
      </c>
      <c r="E758" s="11" t="n">
        <v>28</v>
      </c>
      <c r="F758" s="11" t="n">
        <v>18</v>
      </c>
      <c r="G758" s="11" t="n">
        <v>1</v>
      </c>
      <c r="H758" s="13" t="n">
        <v>95</v>
      </c>
      <c r="I758" s="16" t="n">
        <v>0</v>
      </c>
      <c r="J758" s="13" t="n">
        <f aca="false">G758*H758</f>
        <v>95</v>
      </c>
      <c r="K758" s="13" t="n">
        <f aca="false">J758*(1-I758)</f>
        <v>95</v>
      </c>
    </row>
    <row r="759" customFormat="false" ht="15" hidden="false" customHeight="false" outlineLevel="0" collapsed="false">
      <c r="A759" s="11" t="n">
        <v>758</v>
      </c>
      <c r="B759" s="15" t="n">
        <v>45911</v>
      </c>
      <c r="C759" s="11" t="n">
        <v>1</v>
      </c>
      <c r="D759" s="11" t="n">
        <v>1</v>
      </c>
      <c r="E759" s="11" t="n">
        <v>43</v>
      </c>
      <c r="F759" s="11" t="n">
        <v>17</v>
      </c>
      <c r="G759" s="11" t="n">
        <v>1</v>
      </c>
      <c r="H759" s="13" t="n">
        <v>28</v>
      </c>
      <c r="I759" s="16" t="n">
        <v>0</v>
      </c>
      <c r="J759" s="13" t="n">
        <f aca="false">G759*H759</f>
        <v>28</v>
      </c>
      <c r="K759" s="13" t="n">
        <f aca="false">J759*(1-I759)</f>
        <v>28</v>
      </c>
    </row>
    <row r="760" customFormat="false" ht="15" hidden="false" customHeight="false" outlineLevel="0" collapsed="false">
      <c r="A760" s="11" t="n">
        <v>759</v>
      </c>
      <c r="B760" s="15" t="n">
        <v>45911</v>
      </c>
      <c r="C760" s="11" t="n">
        <v>1</v>
      </c>
      <c r="D760" s="11" t="n">
        <v>2</v>
      </c>
      <c r="E760" s="11" t="n">
        <v>8</v>
      </c>
      <c r="F760" s="11" t="n">
        <v>6</v>
      </c>
      <c r="G760" s="11" t="n">
        <v>1</v>
      </c>
      <c r="H760" s="13" t="n">
        <v>62</v>
      </c>
      <c r="I760" s="16" t="n">
        <v>0</v>
      </c>
      <c r="J760" s="13" t="n">
        <f aca="false">G760*H760</f>
        <v>62</v>
      </c>
      <c r="K760" s="13" t="n">
        <f aca="false">J760*(1-I760)</f>
        <v>62</v>
      </c>
    </row>
    <row r="761" customFormat="false" ht="15" hidden="false" customHeight="false" outlineLevel="0" collapsed="false">
      <c r="A761" s="11" t="n">
        <v>760</v>
      </c>
      <c r="B761" s="15" t="n">
        <v>45911</v>
      </c>
      <c r="C761" s="11" t="n">
        <v>4</v>
      </c>
      <c r="D761" s="11" t="n">
        <v>8</v>
      </c>
      <c r="E761" s="11" t="n">
        <v>23</v>
      </c>
      <c r="F761" s="11" t="n">
        <v>8</v>
      </c>
      <c r="G761" s="11" t="n">
        <v>2</v>
      </c>
      <c r="H761" s="13" t="n">
        <v>52</v>
      </c>
      <c r="I761" s="16" t="n">
        <v>0</v>
      </c>
      <c r="J761" s="13" t="n">
        <f aca="false">G761*H761</f>
        <v>104</v>
      </c>
      <c r="K761" s="13" t="n">
        <f aca="false">J761*(1-I761)</f>
        <v>104</v>
      </c>
    </row>
    <row r="762" customFormat="false" ht="15" hidden="false" customHeight="false" outlineLevel="0" collapsed="false">
      <c r="A762" s="11" t="n">
        <v>761</v>
      </c>
      <c r="B762" s="15" t="n">
        <v>45911</v>
      </c>
      <c r="C762" s="11" t="n">
        <v>2</v>
      </c>
      <c r="D762" s="11" t="n">
        <v>5</v>
      </c>
      <c r="E762" s="11" t="n">
        <v>40</v>
      </c>
      <c r="F762" s="11" t="n">
        <v>9</v>
      </c>
      <c r="G762" s="11" t="n">
        <v>3</v>
      </c>
      <c r="H762" s="13" t="n">
        <v>40</v>
      </c>
      <c r="I762" s="16" t="n">
        <v>0</v>
      </c>
      <c r="J762" s="13" t="n">
        <f aca="false">G762*H762</f>
        <v>120</v>
      </c>
      <c r="K762" s="13" t="n">
        <f aca="false">J762*(1-I762)</f>
        <v>120</v>
      </c>
    </row>
    <row r="763" customFormat="false" ht="15" hidden="false" customHeight="false" outlineLevel="0" collapsed="false">
      <c r="A763" s="11" t="n">
        <v>762</v>
      </c>
      <c r="B763" s="15" t="n">
        <v>45911</v>
      </c>
      <c r="C763" s="11" t="n">
        <v>4</v>
      </c>
      <c r="D763" s="11" t="n">
        <v>9</v>
      </c>
      <c r="E763" s="11" t="n">
        <v>29</v>
      </c>
      <c r="F763" s="11" t="n">
        <v>12</v>
      </c>
      <c r="G763" s="11" t="n">
        <v>2</v>
      </c>
      <c r="H763" s="13" t="n">
        <v>45</v>
      </c>
      <c r="I763" s="16" t="n">
        <v>0</v>
      </c>
      <c r="J763" s="13" t="n">
        <f aca="false">G763*H763</f>
        <v>90</v>
      </c>
      <c r="K763" s="13" t="n">
        <f aca="false">J763*(1-I763)</f>
        <v>90</v>
      </c>
    </row>
    <row r="764" customFormat="false" ht="15" hidden="false" customHeight="false" outlineLevel="0" collapsed="false">
      <c r="A764" s="11" t="n">
        <v>763</v>
      </c>
      <c r="B764" s="15" t="n">
        <v>45911</v>
      </c>
      <c r="C764" s="11" t="n">
        <v>3</v>
      </c>
      <c r="D764" s="11" t="n">
        <v>7</v>
      </c>
      <c r="E764" s="11" t="n">
        <v>11</v>
      </c>
      <c r="F764" s="11" t="n">
        <v>20</v>
      </c>
      <c r="G764" s="11" t="n">
        <v>1</v>
      </c>
      <c r="H764" s="13" t="n">
        <v>88</v>
      </c>
      <c r="I764" s="16" t="n">
        <v>0.1</v>
      </c>
      <c r="J764" s="13" t="n">
        <f aca="false">G764*H764</f>
        <v>88</v>
      </c>
      <c r="K764" s="13" t="n">
        <f aca="false">J764*(1-I764)</f>
        <v>79.2</v>
      </c>
    </row>
    <row r="765" customFormat="false" ht="15" hidden="false" customHeight="false" outlineLevel="0" collapsed="false">
      <c r="A765" s="11" t="n">
        <v>764</v>
      </c>
      <c r="B765" s="15" t="n">
        <v>45911</v>
      </c>
      <c r="C765" s="11" t="n">
        <v>5</v>
      </c>
      <c r="D765" s="11" t="n">
        <v>10</v>
      </c>
      <c r="E765" s="11" t="n">
        <v>24</v>
      </c>
      <c r="F765" s="11" t="n">
        <v>13</v>
      </c>
      <c r="G765" s="11" t="n">
        <v>1</v>
      </c>
      <c r="H765" s="13" t="n">
        <v>32</v>
      </c>
      <c r="I765" s="16" t="n">
        <v>0</v>
      </c>
      <c r="J765" s="13" t="n">
        <f aca="false">G765*H765</f>
        <v>32</v>
      </c>
      <c r="K765" s="13" t="n">
        <f aca="false">J765*(1-I765)</f>
        <v>32</v>
      </c>
    </row>
    <row r="766" customFormat="false" ht="15" hidden="false" customHeight="false" outlineLevel="0" collapsed="false">
      <c r="A766" s="11" t="n">
        <v>765</v>
      </c>
      <c r="B766" s="15" t="n">
        <v>45912</v>
      </c>
      <c r="C766" s="11" t="n">
        <v>1</v>
      </c>
      <c r="D766" s="11" t="n">
        <v>3</v>
      </c>
      <c r="E766" s="11" t="n">
        <v>41</v>
      </c>
      <c r="F766" s="11" t="n">
        <v>19</v>
      </c>
      <c r="G766" s="11" t="n">
        <v>1</v>
      </c>
      <c r="H766" s="13" t="n">
        <v>125</v>
      </c>
      <c r="I766" s="16" t="n">
        <v>0.1</v>
      </c>
      <c r="J766" s="13" t="n">
        <f aca="false">G766*H766</f>
        <v>125</v>
      </c>
      <c r="K766" s="13" t="n">
        <f aca="false">J766*(1-I766)</f>
        <v>112.5</v>
      </c>
    </row>
    <row r="767" customFormat="false" ht="15" hidden="false" customHeight="false" outlineLevel="0" collapsed="false">
      <c r="A767" s="11" t="n">
        <v>766</v>
      </c>
      <c r="B767" s="15" t="n">
        <v>45912</v>
      </c>
      <c r="C767" s="11" t="n">
        <v>1</v>
      </c>
      <c r="D767" s="11" t="n">
        <v>1</v>
      </c>
      <c r="E767" s="11" t="n">
        <v>11</v>
      </c>
      <c r="F767" s="11" t="n">
        <v>3</v>
      </c>
      <c r="G767" s="11" t="n">
        <v>5</v>
      </c>
      <c r="H767" s="13" t="n">
        <v>38</v>
      </c>
      <c r="I767" s="16" t="n">
        <v>0</v>
      </c>
      <c r="J767" s="13" t="n">
        <f aca="false">G767*H767</f>
        <v>190</v>
      </c>
      <c r="K767" s="13" t="n">
        <f aca="false">J767*(1-I767)</f>
        <v>190</v>
      </c>
    </row>
    <row r="768" customFormat="false" ht="15" hidden="false" customHeight="false" outlineLevel="0" collapsed="false">
      <c r="A768" s="11" t="n">
        <v>767</v>
      </c>
      <c r="B768" s="15" t="n">
        <v>45912</v>
      </c>
      <c r="C768" s="11" t="n">
        <v>2</v>
      </c>
      <c r="D768" s="11" t="n">
        <v>4</v>
      </c>
      <c r="E768" s="11" t="n">
        <v>36</v>
      </c>
      <c r="F768" s="11" t="n">
        <v>7</v>
      </c>
      <c r="G768" s="11" t="n">
        <v>1</v>
      </c>
      <c r="H768" s="13" t="n">
        <v>50</v>
      </c>
      <c r="I768" s="16" t="n">
        <v>0</v>
      </c>
      <c r="J768" s="13" t="n">
        <f aca="false">G768*H768</f>
        <v>50</v>
      </c>
      <c r="K768" s="13" t="n">
        <f aca="false">J768*(1-I768)</f>
        <v>50</v>
      </c>
    </row>
    <row r="769" customFormat="false" ht="15" hidden="false" customHeight="false" outlineLevel="0" collapsed="false">
      <c r="A769" s="11" t="n">
        <v>768</v>
      </c>
      <c r="B769" s="15" t="n">
        <v>45912</v>
      </c>
      <c r="C769" s="11" t="n">
        <v>4</v>
      </c>
      <c r="D769" s="11" t="n">
        <v>9</v>
      </c>
      <c r="E769" s="11" t="n">
        <v>21</v>
      </c>
      <c r="F769" s="11" t="n">
        <v>2</v>
      </c>
      <c r="G769" s="11" t="n">
        <v>1</v>
      </c>
      <c r="H769" s="13" t="n">
        <v>45</v>
      </c>
      <c r="I769" s="16" t="n">
        <v>0</v>
      </c>
      <c r="J769" s="13" t="n">
        <f aca="false">G769*H769</f>
        <v>45</v>
      </c>
      <c r="K769" s="13" t="n">
        <f aca="false">J769*(1-I769)</f>
        <v>45</v>
      </c>
    </row>
    <row r="770" customFormat="false" ht="15" hidden="false" customHeight="false" outlineLevel="0" collapsed="false">
      <c r="A770" s="11" t="n">
        <v>769</v>
      </c>
      <c r="B770" s="15" t="n">
        <v>45912</v>
      </c>
      <c r="C770" s="11" t="n">
        <v>4</v>
      </c>
      <c r="D770" s="11" t="n">
        <v>8</v>
      </c>
      <c r="E770" s="11" t="n">
        <v>38</v>
      </c>
      <c r="F770" s="11" t="n">
        <v>17</v>
      </c>
      <c r="G770" s="11" t="n">
        <v>1</v>
      </c>
      <c r="H770" s="13" t="n">
        <v>28</v>
      </c>
      <c r="I770" s="16" t="n">
        <v>0</v>
      </c>
      <c r="J770" s="13" t="n">
        <f aca="false">G770*H770</f>
        <v>28</v>
      </c>
      <c r="K770" s="13" t="n">
        <f aca="false">J770*(1-I770)</f>
        <v>28</v>
      </c>
    </row>
    <row r="771" customFormat="false" ht="15" hidden="false" customHeight="false" outlineLevel="0" collapsed="false">
      <c r="A771" s="11" t="n">
        <v>770</v>
      </c>
      <c r="B771" s="15" t="n">
        <v>45913</v>
      </c>
      <c r="C771" s="11" t="n">
        <v>2</v>
      </c>
      <c r="D771" s="11" t="n">
        <v>4</v>
      </c>
      <c r="E771" s="11" t="n">
        <v>5</v>
      </c>
      <c r="F771" s="11" t="n">
        <v>19</v>
      </c>
      <c r="G771" s="11" t="n">
        <v>2</v>
      </c>
      <c r="H771" s="13" t="n">
        <v>125</v>
      </c>
      <c r="I771" s="16" t="n">
        <v>0</v>
      </c>
      <c r="J771" s="13" t="n">
        <f aca="false">G771*H771</f>
        <v>250</v>
      </c>
      <c r="K771" s="13" t="n">
        <f aca="false">J771*(1-I771)</f>
        <v>250</v>
      </c>
    </row>
    <row r="772" customFormat="false" ht="15" hidden="false" customHeight="false" outlineLevel="0" collapsed="false">
      <c r="A772" s="11" t="n">
        <v>771</v>
      </c>
      <c r="B772" s="15" t="n">
        <v>45913</v>
      </c>
      <c r="C772" s="11" t="n">
        <v>3</v>
      </c>
      <c r="D772" s="11" t="n">
        <v>7</v>
      </c>
      <c r="E772" s="11" t="n">
        <v>55</v>
      </c>
      <c r="F772" s="11" t="n">
        <v>18</v>
      </c>
      <c r="G772" s="11" t="n">
        <v>1</v>
      </c>
      <c r="H772" s="13" t="n">
        <v>95</v>
      </c>
      <c r="I772" s="16" t="n">
        <v>0</v>
      </c>
      <c r="J772" s="13" t="n">
        <f aca="false">G772*H772</f>
        <v>95</v>
      </c>
      <c r="K772" s="13" t="n">
        <f aca="false">J772*(1-I772)</f>
        <v>95</v>
      </c>
    </row>
    <row r="773" customFormat="false" ht="15" hidden="false" customHeight="false" outlineLevel="0" collapsed="false">
      <c r="A773" s="11" t="n">
        <v>772</v>
      </c>
      <c r="B773" s="15" t="n">
        <v>45913</v>
      </c>
      <c r="C773" s="11" t="n">
        <v>1</v>
      </c>
      <c r="D773" s="11" t="n">
        <v>2</v>
      </c>
      <c r="E773" s="11" t="n">
        <v>24</v>
      </c>
      <c r="F773" s="11" t="n">
        <v>13</v>
      </c>
      <c r="G773" s="11" t="n">
        <v>1</v>
      </c>
      <c r="H773" s="13" t="n">
        <v>32</v>
      </c>
      <c r="I773" s="16" t="n">
        <v>0</v>
      </c>
      <c r="J773" s="13" t="n">
        <f aca="false">G773*H773</f>
        <v>32</v>
      </c>
      <c r="K773" s="13" t="n">
        <f aca="false">J773*(1-I773)</f>
        <v>32</v>
      </c>
    </row>
    <row r="774" customFormat="false" ht="15" hidden="false" customHeight="false" outlineLevel="0" collapsed="false">
      <c r="A774" s="11" t="n">
        <v>773</v>
      </c>
      <c r="B774" s="15" t="n">
        <v>45913</v>
      </c>
      <c r="C774" s="11" t="n">
        <v>4</v>
      </c>
      <c r="D774" s="11" t="n">
        <v>9</v>
      </c>
      <c r="E774" s="11" t="n">
        <v>21</v>
      </c>
      <c r="F774" s="11" t="n">
        <v>19</v>
      </c>
      <c r="G774" s="11" t="n">
        <v>1</v>
      </c>
      <c r="H774" s="13" t="n">
        <v>125</v>
      </c>
      <c r="I774" s="16" t="n">
        <v>0</v>
      </c>
      <c r="J774" s="13" t="n">
        <f aca="false">G774*H774</f>
        <v>125</v>
      </c>
      <c r="K774" s="13" t="n">
        <f aca="false">J774*(1-I774)</f>
        <v>125</v>
      </c>
    </row>
    <row r="775" customFormat="false" ht="15" hidden="false" customHeight="false" outlineLevel="0" collapsed="false">
      <c r="A775" s="11" t="n">
        <v>774</v>
      </c>
      <c r="B775" s="15" t="n">
        <v>45914</v>
      </c>
      <c r="C775" s="11" t="n">
        <v>2</v>
      </c>
      <c r="D775" s="11" t="n">
        <v>5</v>
      </c>
      <c r="E775" s="11" t="n">
        <v>29</v>
      </c>
      <c r="F775" s="11" t="n">
        <v>13</v>
      </c>
      <c r="G775" s="11" t="n">
        <v>1</v>
      </c>
      <c r="H775" s="13" t="n">
        <v>32</v>
      </c>
      <c r="I775" s="16" t="n">
        <v>0</v>
      </c>
      <c r="J775" s="13" t="n">
        <f aca="false">G775*H775</f>
        <v>32</v>
      </c>
      <c r="K775" s="13" t="n">
        <f aca="false">J775*(1-I775)</f>
        <v>32</v>
      </c>
    </row>
    <row r="776" customFormat="false" ht="15" hidden="false" customHeight="false" outlineLevel="0" collapsed="false">
      <c r="A776" s="11" t="n">
        <v>775</v>
      </c>
      <c r="B776" s="15" t="n">
        <v>45914</v>
      </c>
      <c r="C776" s="11" t="n">
        <v>4</v>
      </c>
      <c r="D776" s="11" t="n">
        <v>8</v>
      </c>
      <c r="E776" s="11" t="n">
        <v>6</v>
      </c>
      <c r="F776" s="11" t="n">
        <v>10</v>
      </c>
      <c r="G776" s="11" t="n">
        <v>2</v>
      </c>
      <c r="H776" s="13" t="n">
        <v>70</v>
      </c>
      <c r="I776" s="16" t="n">
        <v>0</v>
      </c>
      <c r="J776" s="13" t="n">
        <f aca="false">G776*H776</f>
        <v>140</v>
      </c>
      <c r="K776" s="13" t="n">
        <f aca="false">J776*(1-I776)</f>
        <v>140</v>
      </c>
    </row>
    <row r="777" customFormat="false" ht="15" hidden="false" customHeight="false" outlineLevel="0" collapsed="false">
      <c r="A777" s="11" t="n">
        <v>776</v>
      </c>
      <c r="B777" s="15" t="n">
        <v>45915</v>
      </c>
      <c r="C777" s="11" t="n">
        <v>2</v>
      </c>
      <c r="D777" s="11" t="n">
        <v>4</v>
      </c>
      <c r="E777" s="11" t="n">
        <v>14</v>
      </c>
      <c r="F777" s="11" t="n">
        <v>2</v>
      </c>
      <c r="G777" s="11" t="n">
        <v>3</v>
      </c>
      <c r="H777" s="13" t="n">
        <v>45</v>
      </c>
      <c r="I777" s="16" t="n">
        <v>0</v>
      </c>
      <c r="J777" s="13" t="n">
        <f aca="false">G777*H777</f>
        <v>135</v>
      </c>
      <c r="K777" s="13" t="n">
        <f aca="false">J777*(1-I777)</f>
        <v>135</v>
      </c>
    </row>
    <row r="778" customFormat="false" ht="15" hidden="false" customHeight="false" outlineLevel="0" collapsed="false">
      <c r="A778" s="11" t="n">
        <v>777</v>
      </c>
      <c r="B778" s="15" t="n">
        <v>45915</v>
      </c>
      <c r="C778" s="11" t="n">
        <v>4</v>
      </c>
      <c r="D778" s="11" t="n">
        <v>9</v>
      </c>
      <c r="E778" s="11" t="n">
        <v>20</v>
      </c>
      <c r="F778" s="11" t="n">
        <v>20</v>
      </c>
      <c r="G778" s="11" t="n">
        <v>3</v>
      </c>
      <c r="H778" s="13" t="n">
        <v>88</v>
      </c>
      <c r="I778" s="16" t="n">
        <v>0</v>
      </c>
      <c r="J778" s="13" t="n">
        <f aca="false">G778*H778</f>
        <v>264</v>
      </c>
      <c r="K778" s="13" t="n">
        <f aca="false">J778*(1-I778)</f>
        <v>264</v>
      </c>
    </row>
    <row r="779" customFormat="false" ht="15" hidden="false" customHeight="false" outlineLevel="0" collapsed="false">
      <c r="A779" s="11" t="n">
        <v>778</v>
      </c>
      <c r="B779" s="15" t="n">
        <v>45915</v>
      </c>
      <c r="C779" s="11" t="n">
        <v>4</v>
      </c>
      <c r="D779" s="11" t="n">
        <v>8</v>
      </c>
      <c r="E779" s="11" t="n">
        <v>11</v>
      </c>
      <c r="F779" s="11" t="n">
        <v>10</v>
      </c>
      <c r="G779" s="11" t="n">
        <v>2</v>
      </c>
      <c r="H779" s="13" t="n">
        <v>70</v>
      </c>
      <c r="I779" s="16" t="n">
        <v>0</v>
      </c>
      <c r="J779" s="13" t="n">
        <f aca="false">G779*H779</f>
        <v>140</v>
      </c>
      <c r="K779" s="13" t="n">
        <f aca="false">J779*(1-I779)</f>
        <v>140</v>
      </c>
    </row>
    <row r="780" customFormat="false" ht="15" hidden="false" customHeight="false" outlineLevel="0" collapsed="false">
      <c r="A780" s="11" t="n">
        <v>779</v>
      </c>
      <c r="B780" s="15" t="n">
        <v>45916</v>
      </c>
      <c r="C780" s="11" t="n">
        <v>4</v>
      </c>
      <c r="D780" s="11" t="n">
        <v>9</v>
      </c>
      <c r="E780" s="11" t="n">
        <v>42</v>
      </c>
      <c r="F780" s="11" t="n">
        <v>10</v>
      </c>
      <c r="G780" s="11" t="n">
        <v>1</v>
      </c>
      <c r="H780" s="13" t="n">
        <v>70</v>
      </c>
      <c r="I780" s="16" t="n">
        <v>0.05</v>
      </c>
      <c r="J780" s="13" t="n">
        <f aca="false">G780*H780</f>
        <v>70</v>
      </c>
      <c r="K780" s="13" t="n">
        <f aca="false">J780*(1-I780)</f>
        <v>66.5</v>
      </c>
    </row>
    <row r="781" customFormat="false" ht="15" hidden="false" customHeight="false" outlineLevel="0" collapsed="false">
      <c r="A781" s="11" t="n">
        <v>780</v>
      </c>
      <c r="B781" s="15" t="n">
        <v>45916</v>
      </c>
      <c r="C781" s="11" t="n">
        <v>3</v>
      </c>
      <c r="D781" s="11" t="n">
        <v>7</v>
      </c>
      <c r="E781" s="11" t="n">
        <v>39</v>
      </c>
      <c r="F781" s="11" t="n">
        <v>13</v>
      </c>
      <c r="G781" s="11" t="n">
        <v>2</v>
      </c>
      <c r="H781" s="13" t="n">
        <v>32</v>
      </c>
      <c r="I781" s="16" t="n">
        <v>0</v>
      </c>
      <c r="J781" s="13" t="n">
        <f aca="false">G781*H781</f>
        <v>64</v>
      </c>
      <c r="K781" s="13" t="n">
        <f aca="false">J781*(1-I781)</f>
        <v>64</v>
      </c>
    </row>
    <row r="782" customFormat="false" ht="15" hidden="false" customHeight="false" outlineLevel="0" collapsed="false">
      <c r="A782" s="11" t="n">
        <v>781</v>
      </c>
      <c r="B782" s="15" t="n">
        <v>45916</v>
      </c>
      <c r="C782" s="11" t="n">
        <v>2</v>
      </c>
      <c r="D782" s="11" t="n">
        <v>4</v>
      </c>
      <c r="E782" s="11" t="n">
        <v>1</v>
      </c>
      <c r="F782" s="11" t="n">
        <v>3</v>
      </c>
      <c r="G782" s="11" t="n">
        <v>3</v>
      </c>
      <c r="H782" s="13" t="n">
        <v>38</v>
      </c>
      <c r="I782" s="16" t="n">
        <v>0.05</v>
      </c>
      <c r="J782" s="13" t="n">
        <f aca="false">G782*H782</f>
        <v>114</v>
      </c>
      <c r="K782" s="13" t="n">
        <f aca="false">J782*(1-I782)</f>
        <v>108.3</v>
      </c>
    </row>
    <row r="783" customFormat="false" ht="15" hidden="false" customHeight="false" outlineLevel="0" collapsed="false">
      <c r="A783" s="11" t="n">
        <v>782</v>
      </c>
      <c r="B783" s="15" t="n">
        <v>45916</v>
      </c>
      <c r="C783" s="11" t="n">
        <v>5</v>
      </c>
      <c r="D783" s="11" t="n">
        <v>10</v>
      </c>
      <c r="E783" s="11" t="n">
        <v>16</v>
      </c>
      <c r="F783" s="11" t="n">
        <v>5</v>
      </c>
      <c r="G783" s="11" t="n">
        <v>1</v>
      </c>
      <c r="H783" s="13" t="n">
        <v>58</v>
      </c>
      <c r="I783" s="16" t="n">
        <v>0</v>
      </c>
      <c r="J783" s="13" t="n">
        <f aca="false">G783*H783</f>
        <v>58</v>
      </c>
      <c r="K783" s="13" t="n">
        <f aca="false">J783*(1-I783)</f>
        <v>58</v>
      </c>
    </row>
    <row r="784" customFormat="false" ht="15" hidden="false" customHeight="false" outlineLevel="0" collapsed="false">
      <c r="A784" s="11" t="n">
        <v>783</v>
      </c>
      <c r="B784" s="15" t="n">
        <v>45916</v>
      </c>
      <c r="C784" s="11" t="n">
        <v>4</v>
      </c>
      <c r="D784" s="11" t="n">
        <v>9</v>
      </c>
      <c r="E784" s="11" t="n">
        <v>53</v>
      </c>
      <c r="F784" s="11" t="n">
        <v>6</v>
      </c>
      <c r="G784" s="11" t="n">
        <v>1</v>
      </c>
      <c r="H784" s="13" t="n">
        <v>62</v>
      </c>
      <c r="I784" s="16" t="n">
        <v>0</v>
      </c>
      <c r="J784" s="13" t="n">
        <f aca="false">G784*H784</f>
        <v>62</v>
      </c>
      <c r="K784" s="13" t="n">
        <f aca="false">J784*(1-I784)</f>
        <v>62</v>
      </c>
    </row>
    <row r="785" customFormat="false" ht="15" hidden="false" customHeight="false" outlineLevel="0" collapsed="false">
      <c r="A785" s="11" t="n">
        <v>784</v>
      </c>
      <c r="B785" s="15" t="n">
        <v>45916</v>
      </c>
      <c r="C785" s="11" t="n">
        <v>3</v>
      </c>
      <c r="D785" s="11" t="n">
        <v>6</v>
      </c>
      <c r="E785" s="11" t="n">
        <v>1</v>
      </c>
      <c r="F785" s="11" t="n">
        <v>11</v>
      </c>
      <c r="G785" s="11" t="n">
        <v>1</v>
      </c>
      <c r="H785" s="13" t="n">
        <v>72</v>
      </c>
      <c r="I785" s="16" t="n">
        <v>0</v>
      </c>
      <c r="J785" s="13" t="n">
        <f aca="false">G785*H785</f>
        <v>72</v>
      </c>
      <c r="K785" s="13" t="n">
        <f aca="false">J785*(1-I785)</f>
        <v>72</v>
      </c>
    </row>
    <row r="786" customFormat="false" ht="15" hidden="false" customHeight="false" outlineLevel="0" collapsed="false">
      <c r="A786" s="11" t="n">
        <v>785</v>
      </c>
      <c r="B786" s="15" t="n">
        <v>45917</v>
      </c>
      <c r="C786" s="11" t="n">
        <v>2</v>
      </c>
      <c r="D786" s="11" t="n">
        <v>4</v>
      </c>
      <c r="E786" s="11" t="n">
        <v>55</v>
      </c>
      <c r="F786" s="11" t="n">
        <v>10</v>
      </c>
      <c r="G786" s="11" t="n">
        <v>1</v>
      </c>
      <c r="H786" s="13" t="n">
        <v>70</v>
      </c>
      <c r="I786" s="16" t="n">
        <v>0.1</v>
      </c>
      <c r="J786" s="13" t="n">
        <f aca="false">G786*H786</f>
        <v>70</v>
      </c>
      <c r="K786" s="13" t="n">
        <f aca="false">J786*(1-I786)</f>
        <v>63</v>
      </c>
    </row>
    <row r="787" customFormat="false" ht="15" hidden="false" customHeight="false" outlineLevel="0" collapsed="false">
      <c r="A787" s="11" t="n">
        <v>786</v>
      </c>
      <c r="B787" s="15" t="n">
        <v>45917</v>
      </c>
      <c r="C787" s="11" t="n">
        <v>2</v>
      </c>
      <c r="D787" s="11" t="n">
        <v>4</v>
      </c>
      <c r="E787" s="11" t="n">
        <v>12</v>
      </c>
      <c r="F787" s="11" t="n">
        <v>20</v>
      </c>
      <c r="G787" s="11" t="n">
        <v>2</v>
      </c>
      <c r="H787" s="13" t="n">
        <v>88</v>
      </c>
      <c r="I787" s="16" t="n">
        <v>0</v>
      </c>
      <c r="J787" s="13" t="n">
        <f aca="false">G787*H787</f>
        <v>176</v>
      </c>
      <c r="K787" s="13" t="n">
        <f aca="false">J787*(1-I787)</f>
        <v>176</v>
      </c>
    </row>
    <row r="788" customFormat="false" ht="15" hidden="false" customHeight="false" outlineLevel="0" collapsed="false">
      <c r="A788" s="11" t="n">
        <v>787</v>
      </c>
      <c r="B788" s="15" t="n">
        <v>45917</v>
      </c>
      <c r="C788" s="11" t="n">
        <v>4</v>
      </c>
      <c r="D788" s="11" t="n">
        <v>8</v>
      </c>
      <c r="E788" s="11" t="n">
        <v>27</v>
      </c>
      <c r="F788" s="11" t="n">
        <v>15</v>
      </c>
      <c r="G788" s="11" t="n">
        <v>3</v>
      </c>
      <c r="H788" s="13" t="n">
        <v>65</v>
      </c>
      <c r="I788" s="16" t="n">
        <v>0</v>
      </c>
      <c r="J788" s="13" t="n">
        <f aca="false">G788*H788</f>
        <v>195</v>
      </c>
      <c r="K788" s="13" t="n">
        <f aca="false">J788*(1-I788)</f>
        <v>195</v>
      </c>
    </row>
    <row r="789" customFormat="false" ht="15" hidden="false" customHeight="false" outlineLevel="0" collapsed="false">
      <c r="A789" s="11" t="n">
        <v>788</v>
      </c>
      <c r="B789" s="15" t="n">
        <v>45917</v>
      </c>
      <c r="C789" s="11" t="n">
        <v>4</v>
      </c>
      <c r="D789" s="11" t="n">
        <v>9</v>
      </c>
      <c r="E789" s="11" t="n">
        <v>13</v>
      </c>
      <c r="F789" s="11" t="n">
        <v>10</v>
      </c>
      <c r="G789" s="11" t="n">
        <v>2</v>
      </c>
      <c r="H789" s="13" t="n">
        <v>70</v>
      </c>
      <c r="I789" s="16" t="n">
        <v>0</v>
      </c>
      <c r="J789" s="13" t="n">
        <f aca="false">G789*H789</f>
        <v>140</v>
      </c>
      <c r="K789" s="13" t="n">
        <f aca="false">J789*(1-I789)</f>
        <v>140</v>
      </c>
    </row>
    <row r="790" customFormat="false" ht="15" hidden="false" customHeight="false" outlineLevel="0" collapsed="false">
      <c r="A790" s="11" t="n">
        <v>789</v>
      </c>
      <c r="B790" s="15" t="n">
        <v>45917</v>
      </c>
      <c r="C790" s="11" t="n">
        <v>3</v>
      </c>
      <c r="D790" s="11" t="n">
        <v>6</v>
      </c>
      <c r="E790" s="11" t="n">
        <v>46</v>
      </c>
      <c r="F790" s="11" t="n">
        <v>2</v>
      </c>
      <c r="G790" s="11" t="n">
        <v>4</v>
      </c>
      <c r="H790" s="13" t="n">
        <v>45</v>
      </c>
      <c r="I790" s="16" t="n">
        <v>0</v>
      </c>
      <c r="J790" s="13" t="n">
        <f aca="false">G790*H790</f>
        <v>180</v>
      </c>
      <c r="K790" s="13" t="n">
        <f aca="false">J790*(1-I790)</f>
        <v>180</v>
      </c>
    </row>
    <row r="791" customFormat="false" ht="15" hidden="false" customHeight="false" outlineLevel="0" collapsed="false">
      <c r="A791" s="11" t="n">
        <v>790</v>
      </c>
      <c r="B791" s="15" t="n">
        <v>45918</v>
      </c>
      <c r="C791" s="11" t="n">
        <v>1</v>
      </c>
      <c r="D791" s="11" t="n">
        <v>2</v>
      </c>
      <c r="E791" s="11" t="n">
        <v>8</v>
      </c>
      <c r="F791" s="11" t="n">
        <v>6</v>
      </c>
      <c r="G791" s="11" t="n">
        <v>5</v>
      </c>
      <c r="H791" s="13" t="n">
        <v>62</v>
      </c>
      <c r="I791" s="16" t="n">
        <v>0</v>
      </c>
      <c r="J791" s="13" t="n">
        <f aca="false">G791*H791</f>
        <v>310</v>
      </c>
      <c r="K791" s="13" t="n">
        <f aca="false">J791*(1-I791)</f>
        <v>310</v>
      </c>
    </row>
    <row r="792" customFormat="false" ht="15" hidden="false" customHeight="false" outlineLevel="0" collapsed="false">
      <c r="A792" s="11" t="n">
        <v>791</v>
      </c>
      <c r="B792" s="15" t="n">
        <v>45918</v>
      </c>
      <c r="C792" s="11" t="n">
        <v>1</v>
      </c>
      <c r="D792" s="11" t="n">
        <v>2</v>
      </c>
      <c r="E792" s="11" t="n">
        <v>37</v>
      </c>
      <c r="F792" s="11" t="n">
        <v>5</v>
      </c>
      <c r="G792" s="11" t="n">
        <v>1</v>
      </c>
      <c r="H792" s="13" t="n">
        <v>58</v>
      </c>
      <c r="I792" s="16" t="n">
        <v>0.05</v>
      </c>
      <c r="J792" s="13" t="n">
        <f aca="false">G792*H792</f>
        <v>58</v>
      </c>
      <c r="K792" s="13" t="n">
        <f aca="false">J792*(1-I792)</f>
        <v>55.1</v>
      </c>
    </row>
    <row r="793" customFormat="false" ht="15" hidden="false" customHeight="false" outlineLevel="0" collapsed="false">
      <c r="A793" s="11" t="n">
        <v>792</v>
      </c>
      <c r="B793" s="15" t="n">
        <v>45918</v>
      </c>
      <c r="C793" s="11" t="n">
        <v>5</v>
      </c>
      <c r="D793" s="11" t="n">
        <v>10</v>
      </c>
      <c r="E793" s="11" t="n">
        <v>11</v>
      </c>
      <c r="F793" s="11" t="n">
        <v>15</v>
      </c>
      <c r="G793" s="11" t="n">
        <v>4</v>
      </c>
      <c r="H793" s="13" t="n">
        <v>65</v>
      </c>
      <c r="I793" s="16" t="n">
        <v>0</v>
      </c>
      <c r="J793" s="13" t="n">
        <f aca="false">G793*H793</f>
        <v>260</v>
      </c>
      <c r="K793" s="13" t="n">
        <f aca="false">J793*(1-I793)</f>
        <v>260</v>
      </c>
    </row>
    <row r="794" customFormat="false" ht="15" hidden="false" customHeight="false" outlineLevel="0" collapsed="false">
      <c r="A794" s="11" t="n">
        <v>793</v>
      </c>
      <c r="B794" s="15" t="n">
        <v>45919</v>
      </c>
      <c r="C794" s="11" t="n">
        <v>1</v>
      </c>
      <c r="D794" s="11" t="n">
        <v>3</v>
      </c>
      <c r="E794" s="11" t="n">
        <v>27</v>
      </c>
      <c r="F794" s="11" t="n">
        <v>14</v>
      </c>
      <c r="G794" s="11" t="n">
        <v>1</v>
      </c>
      <c r="H794" s="13" t="n">
        <v>38</v>
      </c>
      <c r="I794" s="16" t="n">
        <v>0</v>
      </c>
      <c r="J794" s="13" t="n">
        <f aca="false">G794*H794</f>
        <v>38</v>
      </c>
      <c r="K794" s="13" t="n">
        <f aca="false">J794*(1-I794)</f>
        <v>38</v>
      </c>
    </row>
    <row r="795" customFormat="false" ht="15" hidden="false" customHeight="false" outlineLevel="0" collapsed="false">
      <c r="A795" s="11" t="n">
        <v>794</v>
      </c>
      <c r="B795" s="15" t="n">
        <v>45921</v>
      </c>
      <c r="C795" s="11" t="n">
        <v>3</v>
      </c>
      <c r="D795" s="11" t="n">
        <v>7</v>
      </c>
      <c r="E795" s="11" t="n">
        <v>2</v>
      </c>
      <c r="F795" s="11" t="n">
        <v>6</v>
      </c>
      <c r="G795" s="11" t="n">
        <v>1</v>
      </c>
      <c r="H795" s="13" t="n">
        <v>62</v>
      </c>
      <c r="I795" s="16" t="n">
        <v>0</v>
      </c>
      <c r="J795" s="13" t="n">
        <f aca="false">G795*H795</f>
        <v>62</v>
      </c>
      <c r="K795" s="13" t="n">
        <f aca="false">J795*(1-I795)</f>
        <v>62</v>
      </c>
    </row>
    <row r="796" customFormat="false" ht="15" hidden="false" customHeight="false" outlineLevel="0" collapsed="false">
      <c r="A796" s="11" t="n">
        <v>795</v>
      </c>
      <c r="B796" s="15" t="n">
        <v>45921</v>
      </c>
      <c r="C796" s="11" t="n">
        <v>1</v>
      </c>
      <c r="D796" s="11" t="n">
        <v>3</v>
      </c>
      <c r="E796" s="11" t="n">
        <v>17</v>
      </c>
      <c r="F796" s="11" t="n">
        <v>3</v>
      </c>
      <c r="G796" s="11" t="n">
        <v>1</v>
      </c>
      <c r="H796" s="13" t="n">
        <v>38</v>
      </c>
      <c r="I796" s="16" t="n">
        <v>0</v>
      </c>
      <c r="J796" s="13" t="n">
        <f aca="false">G796*H796</f>
        <v>38</v>
      </c>
      <c r="K796" s="13" t="n">
        <f aca="false">J796*(1-I796)</f>
        <v>38</v>
      </c>
    </row>
    <row r="797" customFormat="false" ht="15" hidden="false" customHeight="false" outlineLevel="0" collapsed="false">
      <c r="A797" s="11" t="n">
        <v>796</v>
      </c>
      <c r="B797" s="15" t="n">
        <v>45921</v>
      </c>
      <c r="C797" s="11" t="n">
        <v>4</v>
      </c>
      <c r="D797" s="11" t="n">
        <v>9</v>
      </c>
      <c r="E797" s="11" t="n">
        <v>34</v>
      </c>
      <c r="F797" s="11" t="n">
        <v>18</v>
      </c>
      <c r="G797" s="11" t="n">
        <v>1</v>
      </c>
      <c r="H797" s="13" t="n">
        <v>95</v>
      </c>
      <c r="I797" s="16" t="n">
        <v>0</v>
      </c>
      <c r="J797" s="13" t="n">
        <f aca="false">G797*H797</f>
        <v>95</v>
      </c>
      <c r="K797" s="13" t="n">
        <f aca="false">J797*(1-I797)</f>
        <v>95</v>
      </c>
    </row>
    <row r="798" customFormat="false" ht="15" hidden="false" customHeight="false" outlineLevel="0" collapsed="false">
      <c r="A798" s="11" t="n">
        <v>797</v>
      </c>
      <c r="B798" s="15" t="n">
        <v>45921</v>
      </c>
      <c r="C798" s="11" t="n">
        <v>5</v>
      </c>
      <c r="D798" s="11" t="n">
        <v>10</v>
      </c>
      <c r="E798" s="11" t="n">
        <v>4</v>
      </c>
      <c r="F798" s="11" t="n">
        <v>16</v>
      </c>
      <c r="G798" s="11" t="n">
        <v>1</v>
      </c>
      <c r="H798" s="13" t="n">
        <v>45</v>
      </c>
      <c r="I798" s="16" t="n">
        <v>0</v>
      </c>
      <c r="J798" s="13" t="n">
        <f aca="false">G798*H798</f>
        <v>45</v>
      </c>
      <c r="K798" s="13" t="n">
        <f aca="false">J798*(1-I798)</f>
        <v>45</v>
      </c>
    </row>
    <row r="799" customFormat="false" ht="15" hidden="false" customHeight="false" outlineLevel="0" collapsed="false">
      <c r="A799" s="11" t="n">
        <v>798</v>
      </c>
      <c r="B799" s="15" t="n">
        <v>45922</v>
      </c>
      <c r="C799" s="11" t="n">
        <v>3</v>
      </c>
      <c r="D799" s="11" t="n">
        <v>7</v>
      </c>
      <c r="E799" s="11" t="n">
        <v>40</v>
      </c>
      <c r="F799" s="11" t="n">
        <v>2</v>
      </c>
      <c r="G799" s="11" t="n">
        <v>3</v>
      </c>
      <c r="H799" s="13" t="n">
        <v>45</v>
      </c>
      <c r="I799" s="16" t="n">
        <v>0</v>
      </c>
      <c r="J799" s="13" t="n">
        <f aca="false">G799*H799</f>
        <v>135</v>
      </c>
      <c r="K799" s="13" t="n">
        <f aca="false">J799*(1-I799)</f>
        <v>135</v>
      </c>
    </row>
    <row r="800" customFormat="false" ht="15" hidden="false" customHeight="false" outlineLevel="0" collapsed="false">
      <c r="A800" s="11" t="n">
        <v>799</v>
      </c>
      <c r="B800" s="15" t="n">
        <v>45922</v>
      </c>
      <c r="C800" s="11" t="n">
        <v>1</v>
      </c>
      <c r="D800" s="11" t="n">
        <v>3</v>
      </c>
      <c r="E800" s="11" t="n">
        <v>42</v>
      </c>
      <c r="F800" s="11" t="n">
        <v>5</v>
      </c>
      <c r="G800" s="11" t="n">
        <v>1</v>
      </c>
      <c r="H800" s="13" t="n">
        <v>58</v>
      </c>
      <c r="I800" s="16" t="n">
        <v>0</v>
      </c>
      <c r="J800" s="13" t="n">
        <f aca="false">G800*H800</f>
        <v>58</v>
      </c>
      <c r="K800" s="13" t="n">
        <f aca="false">J800*(1-I800)</f>
        <v>58</v>
      </c>
    </row>
    <row r="801" customFormat="false" ht="15" hidden="false" customHeight="false" outlineLevel="0" collapsed="false">
      <c r="A801" s="11" t="n">
        <v>800</v>
      </c>
      <c r="B801" s="15" t="n">
        <v>45923</v>
      </c>
      <c r="C801" s="11" t="n">
        <v>4</v>
      </c>
      <c r="D801" s="11" t="n">
        <v>9</v>
      </c>
      <c r="E801" s="11" t="n">
        <v>20</v>
      </c>
      <c r="F801" s="11" t="n">
        <v>11</v>
      </c>
      <c r="G801" s="11" t="n">
        <v>3</v>
      </c>
      <c r="H801" s="13" t="n">
        <v>72</v>
      </c>
      <c r="I801" s="16" t="n">
        <v>0</v>
      </c>
      <c r="J801" s="13" t="n">
        <f aca="false">G801*H801</f>
        <v>216</v>
      </c>
      <c r="K801" s="13" t="n">
        <f aca="false">J801*(1-I801)</f>
        <v>216</v>
      </c>
    </row>
    <row r="802" customFormat="false" ht="15" hidden="false" customHeight="false" outlineLevel="0" collapsed="false">
      <c r="A802" s="11" t="n">
        <v>801</v>
      </c>
      <c r="B802" s="15" t="n">
        <v>45923</v>
      </c>
      <c r="C802" s="11" t="n">
        <v>3</v>
      </c>
      <c r="D802" s="11" t="n">
        <v>6</v>
      </c>
      <c r="E802" s="11" t="n">
        <v>25</v>
      </c>
      <c r="F802" s="11" t="n">
        <v>11</v>
      </c>
      <c r="G802" s="11" t="n">
        <v>1</v>
      </c>
      <c r="H802" s="13" t="n">
        <v>72</v>
      </c>
      <c r="I802" s="16" t="n">
        <v>0</v>
      </c>
      <c r="J802" s="13" t="n">
        <f aca="false">G802*H802</f>
        <v>72</v>
      </c>
      <c r="K802" s="13" t="n">
        <f aca="false">J802*(1-I802)</f>
        <v>72</v>
      </c>
    </row>
    <row r="803" customFormat="false" ht="15" hidden="false" customHeight="false" outlineLevel="0" collapsed="false">
      <c r="A803" s="11" t="n">
        <v>802</v>
      </c>
      <c r="B803" s="15" t="n">
        <v>45923</v>
      </c>
      <c r="C803" s="11" t="n">
        <v>2</v>
      </c>
      <c r="D803" s="11" t="n">
        <v>5</v>
      </c>
      <c r="E803" s="11" t="n">
        <v>55</v>
      </c>
      <c r="F803" s="11" t="n">
        <v>16</v>
      </c>
      <c r="G803" s="11" t="n">
        <v>2</v>
      </c>
      <c r="H803" s="13" t="n">
        <v>45</v>
      </c>
      <c r="I803" s="16" t="n">
        <v>0</v>
      </c>
      <c r="J803" s="13" t="n">
        <f aca="false">G803*H803</f>
        <v>90</v>
      </c>
      <c r="K803" s="13" t="n">
        <f aca="false">J803*(1-I803)</f>
        <v>90</v>
      </c>
    </row>
    <row r="804" customFormat="false" ht="15" hidden="false" customHeight="false" outlineLevel="0" collapsed="false">
      <c r="A804" s="11" t="n">
        <v>803</v>
      </c>
      <c r="B804" s="15" t="n">
        <v>45923</v>
      </c>
      <c r="C804" s="11" t="n">
        <v>4</v>
      </c>
      <c r="D804" s="11" t="n">
        <v>9</v>
      </c>
      <c r="E804" s="11" t="n">
        <v>39</v>
      </c>
      <c r="F804" s="11" t="n">
        <v>11</v>
      </c>
      <c r="G804" s="11" t="n">
        <v>3</v>
      </c>
      <c r="H804" s="13" t="n">
        <v>72</v>
      </c>
      <c r="I804" s="16" t="n">
        <v>0</v>
      </c>
      <c r="J804" s="13" t="n">
        <f aca="false">G804*H804</f>
        <v>216</v>
      </c>
      <c r="K804" s="13" t="n">
        <f aca="false">J804*(1-I804)</f>
        <v>216</v>
      </c>
    </row>
    <row r="805" customFormat="false" ht="15" hidden="false" customHeight="false" outlineLevel="0" collapsed="false">
      <c r="A805" s="11" t="n">
        <v>804</v>
      </c>
      <c r="B805" s="15" t="n">
        <v>45923</v>
      </c>
      <c r="C805" s="11" t="n">
        <v>4</v>
      </c>
      <c r="D805" s="11" t="n">
        <v>8</v>
      </c>
      <c r="E805" s="11" t="n">
        <v>25</v>
      </c>
      <c r="F805" s="11" t="n">
        <v>10</v>
      </c>
      <c r="G805" s="11" t="n">
        <v>1</v>
      </c>
      <c r="H805" s="13" t="n">
        <v>70</v>
      </c>
      <c r="I805" s="16" t="n">
        <v>0</v>
      </c>
      <c r="J805" s="13" t="n">
        <f aca="false">G805*H805</f>
        <v>70</v>
      </c>
      <c r="K805" s="13" t="n">
        <f aca="false">J805*(1-I805)</f>
        <v>70</v>
      </c>
    </row>
    <row r="806" customFormat="false" ht="15" hidden="false" customHeight="false" outlineLevel="0" collapsed="false">
      <c r="A806" s="11" t="n">
        <v>805</v>
      </c>
      <c r="B806" s="15" t="n">
        <v>45925</v>
      </c>
      <c r="C806" s="11" t="n">
        <v>3</v>
      </c>
      <c r="D806" s="11" t="n">
        <v>7</v>
      </c>
      <c r="E806" s="11" t="n">
        <v>21</v>
      </c>
      <c r="F806" s="11" t="n">
        <v>14</v>
      </c>
      <c r="G806" s="11" t="n">
        <v>2</v>
      </c>
      <c r="H806" s="13" t="n">
        <v>38</v>
      </c>
      <c r="I806" s="16" t="n">
        <v>0</v>
      </c>
      <c r="J806" s="13" t="n">
        <f aca="false">G806*H806</f>
        <v>76</v>
      </c>
      <c r="K806" s="13" t="n">
        <f aca="false">J806*(1-I806)</f>
        <v>76</v>
      </c>
    </row>
    <row r="807" customFormat="false" ht="15" hidden="false" customHeight="false" outlineLevel="0" collapsed="false">
      <c r="A807" s="11" t="n">
        <v>806</v>
      </c>
      <c r="B807" s="15" t="n">
        <v>45925</v>
      </c>
      <c r="C807" s="11" t="n">
        <v>2</v>
      </c>
      <c r="D807" s="11" t="n">
        <v>4</v>
      </c>
      <c r="E807" s="11" t="n">
        <v>50</v>
      </c>
      <c r="F807" s="11" t="n">
        <v>3</v>
      </c>
      <c r="G807" s="11" t="n">
        <v>1</v>
      </c>
      <c r="H807" s="13" t="n">
        <v>38</v>
      </c>
      <c r="I807" s="16" t="n">
        <v>0</v>
      </c>
      <c r="J807" s="13" t="n">
        <f aca="false">G807*H807</f>
        <v>38</v>
      </c>
      <c r="K807" s="13" t="n">
        <f aca="false">J807*(1-I807)</f>
        <v>38</v>
      </c>
    </row>
    <row r="808" customFormat="false" ht="15" hidden="false" customHeight="false" outlineLevel="0" collapsed="false">
      <c r="A808" s="11" t="n">
        <v>807</v>
      </c>
      <c r="B808" s="15" t="n">
        <v>45925</v>
      </c>
      <c r="C808" s="11" t="n">
        <v>2</v>
      </c>
      <c r="D808" s="11" t="n">
        <v>4</v>
      </c>
      <c r="E808" s="11" t="n">
        <v>32</v>
      </c>
      <c r="F808" s="11" t="n">
        <v>14</v>
      </c>
      <c r="G808" s="11" t="n">
        <v>1</v>
      </c>
      <c r="H808" s="13" t="n">
        <v>38</v>
      </c>
      <c r="I808" s="16" t="n">
        <v>0</v>
      </c>
      <c r="J808" s="13" t="n">
        <f aca="false">G808*H808</f>
        <v>38</v>
      </c>
      <c r="K808" s="13" t="n">
        <f aca="false">J808*(1-I808)</f>
        <v>38</v>
      </c>
    </row>
    <row r="809" customFormat="false" ht="15" hidden="false" customHeight="false" outlineLevel="0" collapsed="false">
      <c r="A809" s="11" t="n">
        <v>808</v>
      </c>
      <c r="B809" s="15" t="n">
        <v>45925</v>
      </c>
      <c r="C809" s="11" t="n">
        <v>5</v>
      </c>
      <c r="D809" s="11" t="n">
        <v>10</v>
      </c>
      <c r="E809" s="11" t="n">
        <v>34</v>
      </c>
      <c r="F809" s="11" t="n">
        <v>7</v>
      </c>
      <c r="G809" s="11" t="n">
        <v>1</v>
      </c>
      <c r="H809" s="13" t="n">
        <v>50</v>
      </c>
      <c r="I809" s="16" t="n">
        <v>0</v>
      </c>
      <c r="J809" s="13" t="n">
        <f aca="false">G809*H809</f>
        <v>50</v>
      </c>
      <c r="K809" s="13" t="n">
        <f aca="false">J809*(1-I809)</f>
        <v>50</v>
      </c>
    </row>
    <row r="810" customFormat="false" ht="15" hidden="false" customHeight="false" outlineLevel="0" collapsed="false">
      <c r="A810" s="11" t="n">
        <v>809</v>
      </c>
      <c r="B810" s="15" t="n">
        <v>45926</v>
      </c>
      <c r="C810" s="11" t="n">
        <v>5</v>
      </c>
      <c r="D810" s="11" t="n">
        <v>10</v>
      </c>
      <c r="E810" s="11" t="n">
        <v>7</v>
      </c>
      <c r="F810" s="11" t="n">
        <v>4</v>
      </c>
      <c r="G810" s="11" t="n">
        <v>1</v>
      </c>
      <c r="H810" s="13" t="n">
        <v>55</v>
      </c>
      <c r="I810" s="16" t="n">
        <v>0</v>
      </c>
      <c r="J810" s="13" t="n">
        <f aca="false">G810*H810</f>
        <v>55</v>
      </c>
      <c r="K810" s="13" t="n">
        <f aca="false">J810*(1-I810)</f>
        <v>55</v>
      </c>
    </row>
    <row r="811" customFormat="false" ht="15" hidden="false" customHeight="false" outlineLevel="0" collapsed="false">
      <c r="A811" s="11" t="n">
        <v>810</v>
      </c>
      <c r="B811" s="15" t="n">
        <v>45926</v>
      </c>
      <c r="C811" s="11" t="n">
        <v>4</v>
      </c>
      <c r="D811" s="11" t="n">
        <v>8</v>
      </c>
      <c r="E811" s="11" t="n">
        <v>32</v>
      </c>
      <c r="F811" s="11" t="n">
        <v>12</v>
      </c>
      <c r="G811" s="11" t="n">
        <v>1</v>
      </c>
      <c r="H811" s="13" t="n">
        <v>45</v>
      </c>
      <c r="I811" s="16" t="n">
        <v>0</v>
      </c>
      <c r="J811" s="13" t="n">
        <f aca="false">G811*H811</f>
        <v>45</v>
      </c>
      <c r="K811" s="13" t="n">
        <f aca="false">J811*(1-I811)</f>
        <v>45</v>
      </c>
    </row>
    <row r="812" customFormat="false" ht="15" hidden="false" customHeight="false" outlineLevel="0" collapsed="false">
      <c r="A812" s="11" t="n">
        <v>811</v>
      </c>
      <c r="B812" s="15" t="n">
        <v>45927</v>
      </c>
      <c r="C812" s="11" t="n">
        <v>1</v>
      </c>
      <c r="D812" s="11" t="n">
        <v>1</v>
      </c>
      <c r="E812" s="11" t="n">
        <v>12</v>
      </c>
      <c r="F812" s="11" t="n">
        <v>16</v>
      </c>
      <c r="G812" s="11" t="n">
        <v>3</v>
      </c>
      <c r="H812" s="13" t="n">
        <v>45</v>
      </c>
      <c r="I812" s="16" t="n">
        <v>0</v>
      </c>
      <c r="J812" s="13" t="n">
        <f aca="false">G812*H812</f>
        <v>135</v>
      </c>
      <c r="K812" s="13" t="n">
        <f aca="false">J812*(1-I812)</f>
        <v>135</v>
      </c>
    </row>
    <row r="813" customFormat="false" ht="15" hidden="false" customHeight="false" outlineLevel="0" collapsed="false">
      <c r="A813" s="11" t="n">
        <v>812</v>
      </c>
      <c r="B813" s="15" t="n">
        <v>45927</v>
      </c>
      <c r="C813" s="11" t="n">
        <v>4</v>
      </c>
      <c r="D813" s="11" t="n">
        <v>8</v>
      </c>
      <c r="E813" s="11" t="n">
        <v>37</v>
      </c>
      <c r="F813" s="11" t="n">
        <v>18</v>
      </c>
      <c r="G813" s="11" t="n">
        <v>1</v>
      </c>
      <c r="H813" s="13" t="n">
        <v>95</v>
      </c>
      <c r="I813" s="16" t="n">
        <v>0</v>
      </c>
      <c r="J813" s="13" t="n">
        <f aca="false">G813*H813</f>
        <v>95</v>
      </c>
      <c r="K813" s="13" t="n">
        <f aca="false">J813*(1-I813)</f>
        <v>95</v>
      </c>
    </row>
    <row r="814" customFormat="false" ht="15" hidden="false" customHeight="false" outlineLevel="0" collapsed="false">
      <c r="A814" s="11" t="n">
        <v>813</v>
      </c>
      <c r="B814" s="15" t="n">
        <v>45927</v>
      </c>
      <c r="C814" s="11" t="n">
        <v>4</v>
      </c>
      <c r="D814" s="11" t="n">
        <v>8</v>
      </c>
      <c r="E814" s="11" t="n">
        <v>46</v>
      </c>
      <c r="F814" s="11" t="n">
        <v>2</v>
      </c>
      <c r="G814" s="11" t="n">
        <v>1</v>
      </c>
      <c r="H814" s="13" t="n">
        <v>45</v>
      </c>
      <c r="I814" s="16" t="n">
        <v>0</v>
      </c>
      <c r="J814" s="13" t="n">
        <f aca="false">G814*H814</f>
        <v>45</v>
      </c>
      <c r="K814" s="13" t="n">
        <f aca="false">J814*(1-I814)</f>
        <v>45</v>
      </c>
    </row>
    <row r="815" customFormat="false" ht="15" hidden="false" customHeight="false" outlineLevel="0" collapsed="false">
      <c r="A815" s="11" t="n">
        <v>814</v>
      </c>
      <c r="B815" s="15" t="n">
        <v>45928</v>
      </c>
      <c r="C815" s="11" t="n">
        <v>4</v>
      </c>
      <c r="D815" s="11" t="n">
        <v>9</v>
      </c>
      <c r="E815" s="11" t="n">
        <v>11</v>
      </c>
      <c r="F815" s="11" t="n">
        <v>20</v>
      </c>
      <c r="G815" s="11" t="n">
        <v>1</v>
      </c>
      <c r="H815" s="13" t="n">
        <v>88</v>
      </c>
      <c r="I815" s="16" t="n">
        <v>0</v>
      </c>
      <c r="J815" s="13" t="n">
        <f aca="false">G815*H815</f>
        <v>88</v>
      </c>
      <c r="K815" s="13" t="n">
        <f aca="false">J815*(1-I815)</f>
        <v>88</v>
      </c>
    </row>
    <row r="816" customFormat="false" ht="15" hidden="false" customHeight="false" outlineLevel="0" collapsed="false">
      <c r="A816" s="11" t="n">
        <v>815</v>
      </c>
      <c r="B816" s="15" t="n">
        <v>45928</v>
      </c>
      <c r="C816" s="11" t="n">
        <v>1</v>
      </c>
      <c r="D816" s="11" t="n">
        <v>2</v>
      </c>
      <c r="E816" s="11" t="n">
        <v>48</v>
      </c>
      <c r="F816" s="11" t="n">
        <v>15</v>
      </c>
      <c r="G816" s="11" t="n">
        <v>2</v>
      </c>
      <c r="H816" s="13" t="n">
        <v>65</v>
      </c>
      <c r="I816" s="16" t="n">
        <v>0</v>
      </c>
      <c r="J816" s="13" t="n">
        <f aca="false">G816*H816</f>
        <v>130</v>
      </c>
      <c r="K816" s="13" t="n">
        <f aca="false">J816*(1-I816)</f>
        <v>130</v>
      </c>
    </row>
    <row r="817" customFormat="false" ht="15" hidden="false" customHeight="false" outlineLevel="0" collapsed="false">
      <c r="A817" s="11" t="n">
        <v>816</v>
      </c>
      <c r="B817" s="15" t="n">
        <v>45928</v>
      </c>
      <c r="C817" s="11" t="n">
        <v>5</v>
      </c>
      <c r="D817" s="11" t="n">
        <v>10</v>
      </c>
      <c r="E817" s="11" t="n">
        <v>49</v>
      </c>
      <c r="F817" s="11" t="n">
        <v>17</v>
      </c>
      <c r="G817" s="11" t="n">
        <v>1</v>
      </c>
      <c r="H817" s="13" t="n">
        <v>28</v>
      </c>
      <c r="I817" s="16" t="n">
        <v>0</v>
      </c>
      <c r="J817" s="13" t="n">
        <f aca="false">G817*H817</f>
        <v>28</v>
      </c>
      <c r="K817" s="13" t="n">
        <f aca="false">J817*(1-I817)</f>
        <v>28</v>
      </c>
    </row>
    <row r="818" customFormat="false" ht="15" hidden="false" customHeight="false" outlineLevel="0" collapsed="false">
      <c r="A818" s="11" t="n">
        <v>817</v>
      </c>
      <c r="B818" s="15" t="n">
        <v>45928</v>
      </c>
      <c r="C818" s="11" t="n">
        <v>2</v>
      </c>
      <c r="D818" s="11" t="n">
        <v>5</v>
      </c>
      <c r="E818" s="11" t="n">
        <v>42</v>
      </c>
      <c r="F818" s="11" t="n">
        <v>6</v>
      </c>
      <c r="G818" s="11" t="n">
        <v>1</v>
      </c>
      <c r="H818" s="13" t="n">
        <v>62</v>
      </c>
      <c r="I818" s="16" t="n">
        <v>0</v>
      </c>
      <c r="J818" s="13" t="n">
        <f aca="false">G818*H818</f>
        <v>62</v>
      </c>
      <c r="K818" s="13" t="n">
        <f aca="false">J818*(1-I818)</f>
        <v>62</v>
      </c>
    </row>
    <row r="819" customFormat="false" ht="15" hidden="false" customHeight="false" outlineLevel="0" collapsed="false">
      <c r="A819" s="11" t="n">
        <v>818</v>
      </c>
      <c r="B819" s="15" t="n">
        <v>45929</v>
      </c>
      <c r="C819" s="11" t="n">
        <v>4</v>
      </c>
      <c r="D819" s="11" t="n">
        <v>9</v>
      </c>
      <c r="E819" s="11" t="n">
        <v>44</v>
      </c>
      <c r="F819" s="11" t="n">
        <v>18</v>
      </c>
      <c r="G819" s="11" t="n">
        <v>1</v>
      </c>
      <c r="H819" s="13" t="n">
        <v>95</v>
      </c>
      <c r="I819" s="16" t="n">
        <v>0</v>
      </c>
      <c r="J819" s="13" t="n">
        <f aca="false">G819*H819</f>
        <v>95</v>
      </c>
      <c r="K819" s="13" t="n">
        <f aca="false">J819*(1-I819)</f>
        <v>95</v>
      </c>
    </row>
    <row r="820" customFormat="false" ht="15" hidden="false" customHeight="false" outlineLevel="0" collapsed="false">
      <c r="A820" s="11" t="n">
        <v>819</v>
      </c>
      <c r="B820" s="15" t="n">
        <v>45929</v>
      </c>
      <c r="C820" s="11" t="n">
        <v>3</v>
      </c>
      <c r="D820" s="11" t="n">
        <v>6</v>
      </c>
      <c r="E820" s="11" t="n">
        <v>42</v>
      </c>
      <c r="F820" s="11" t="n">
        <v>15</v>
      </c>
      <c r="G820" s="11" t="n">
        <v>4</v>
      </c>
      <c r="H820" s="13" t="n">
        <v>65</v>
      </c>
      <c r="I820" s="16" t="n">
        <v>0</v>
      </c>
      <c r="J820" s="13" t="n">
        <f aca="false">G820*H820</f>
        <v>260</v>
      </c>
      <c r="K820" s="13" t="n">
        <f aca="false">J820*(1-I820)</f>
        <v>260</v>
      </c>
    </row>
    <row r="821" customFormat="false" ht="15" hidden="false" customHeight="false" outlineLevel="0" collapsed="false">
      <c r="A821" s="11" t="n">
        <v>820</v>
      </c>
      <c r="B821" s="15" t="n">
        <v>45929</v>
      </c>
      <c r="C821" s="11" t="n">
        <v>4</v>
      </c>
      <c r="D821" s="11" t="n">
        <v>9</v>
      </c>
      <c r="E821" s="11" t="n">
        <v>57</v>
      </c>
      <c r="F821" s="11" t="n">
        <v>14</v>
      </c>
      <c r="G821" s="11" t="n">
        <v>3</v>
      </c>
      <c r="H821" s="13" t="n">
        <v>38</v>
      </c>
      <c r="I821" s="16" t="n">
        <v>0</v>
      </c>
      <c r="J821" s="13" t="n">
        <f aca="false">G821*H821</f>
        <v>114</v>
      </c>
      <c r="K821" s="13" t="n">
        <f aca="false">J821*(1-I821)</f>
        <v>114</v>
      </c>
    </row>
    <row r="822" customFormat="false" ht="15" hidden="false" customHeight="false" outlineLevel="0" collapsed="false">
      <c r="A822" s="11" t="n">
        <v>821</v>
      </c>
      <c r="B822" s="15" t="n">
        <v>45930</v>
      </c>
      <c r="C822" s="11" t="n">
        <v>1</v>
      </c>
      <c r="D822" s="11" t="n">
        <v>1</v>
      </c>
      <c r="E822" s="11" t="n">
        <v>35</v>
      </c>
      <c r="F822" s="11" t="n">
        <v>8</v>
      </c>
      <c r="G822" s="11" t="n">
        <v>2</v>
      </c>
      <c r="H822" s="13" t="n">
        <v>52</v>
      </c>
      <c r="I822" s="16" t="n">
        <v>0.1</v>
      </c>
      <c r="J822" s="13" t="n">
        <f aca="false">G822*H822</f>
        <v>104</v>
      </c>
      <c r="K822" s="13" t="n">
        <f aca="false">J822*(1-I822)</f>
        <v>93.6</v>
      </c>
    </row>
    <row r="823" customFormat="false" ht="15" hidden="false" customHeight="false" outlineLevel="0" collapsed="false">
      <c r="A823" s="11" t="n">
        <v>822</v>
      </c>
      <c r="B823" s="15" t="n">
        <v>45930</v>
      </c>
      <c r="C823" s="11" t="n">
        <v>4</v>
      </c>
      <c r="D823" s="11" t="n">
        <v>9</v>
      </c>
      <c r="E823" s="11" t="n">
        <v>28</v>
      </c>
      <c r="F823" s="11" t="n">
        <v>20</v>
      </c>
      <c r="G823" s="11" t="n">
        <v>3</v>
      </c>
      <c r="H823" s="13" t="n">
        <v>88</v>
      </c>
      <c r="I823" s="16" t="n">
        <v>0</v>
      </c>
      <c r="J823" s="13" t="n">
        <f aca="false">G823*H823</f>
        <v>264</v>
      </c>
      <c r="K823" s="13" t="n">
        <f aca="false">J823*(1-I823)</f>
        <v>264</v>
      </c>
    </row>
    <row r="824" customFormat="false" ht="15" hidden="false" customHeight="false" outlineLevel="0" collapsed="false">
      <c r="A824" s="11" t="n">
        <v>823</v>
      </c>
      <c r="B824" s="15" t="n">
        <v>45930</v>
      </c>
      <c r="C824" s="11" t="n">
        <v>5</v>
      </c>
      <c r="D824" s="11" t="n">
        <v>10</v>
      </c>
      <c r="E824" s="11" t="n">
        <v>46</v>
      </c>
      <c r="F824" s="11" t="n">
        <v>12</v>
      </c>
      <c r="G824" s="11" t="n">
        <v>5</v>
      </c>
      <c r="H824" s="13" t="n">
        <v>45</v>
      </c>
      <c r="I824" s="16" t="n">
        <v>0</v>
      </c>
      <c r="J824" s="13" t="n">
        <f aca="false">G824*H824</f>
        <v>225</v>
      </c>
      <c r="K824" s="13" t="n">
        <f aca="false">J824*(1-I824)</f>
        <v>225</v>
      </c>
    </row>
    <row r="825" customFormat="false" ht="15" hidden="false" customHeight="false" outlineLevel="0" collapsed="false">
      <c r="A825" s="11" t="n">
        <v>824</v>
      </c>
      <c r="B825" s="15" t="n">
        <v>45930</v>
      </c>
      <c r="C825" s="11" t="n">
        <v>2</v>
      </c>
      <c r="D825" s="11" t="n">
        <v>4</v>
      </c>
      <c r="E825" s="11" t="n">
        <v>34</v>
      </c>
      <c r="F825" s="11" t="n">
        <v>7</v>
      </c>
      <c r="G825" s="11" t="n">
        <v>3</v>
      </c>
      <c r="H825" s="13" t="n">
        <v>50</v>
      </c>
      <c r="I825" s="16" t="n">
        <v>0</v>
      </c>
      <c r="J825" s="13" t="n">
        <f aca="false">G825*H825</f>
        <v>150</v>
      </c>
      <c r="K825" s="13" t="n">
        <f aca="false">J825*(1-I825)</f>
        <v>150</v>
      </c>
    </row>
    <row r="826" customFormat="false" ht="15" hidden="false" customHeight="false" outlineLevel="0" collapsed="false">
      <c r="A826" s="11" t="n">
        <v>825</v>
      </c>
      <c r="B826" s="15" t="n">
        <v>45931</v>
      </c>
      <c r="C826" s="11" t="n">
        <v>5</v>
      </c>
      <c r="D826" s="11" t="n">
        <v>10</v>
      </c>
      <c r="E826" s="11" t="n">
        <v>18</v>
      </c>
      <c r="F826" s="11" t="n">
        <v>1</v>
      </c>
      <c r="G826" s="11" t="n">
        <v>2</v>
      </c>
      <c r="H826" s="13" t="n">
        <v>35</v>
      </c>
      <c r="I826" s="16" t="n">
        <v>0</v>
      </c>
      <c r="J826" s="13" t="n">
        <f aca="false">G826*H826</f>
        <v>70</v>
      </c>
      <c r="K826" s="13" t="n">
        <f aca="false">J826*(1-I826)</f>
        <v>70</v>
      </c>
    </row>
    <row r="827" customFormat="false" ht="15" hidden="false" customHeight="false" outlineLevel="0" collapsed="false">
      <c r="A827" s="11" t="n">
        <v>826</v>
      </c>
      <c r="B827" s="15" t="n">
        <v>45931</v>
      </c>
      <c r="C827" s="11" t="n">
        <v>1</v>
      </c>
      <c r="D827" s="11" t="n">
        <v>1</v>
      </c>
      <c r="E827" s="11" t="n">
        <v>16</v>
      </c>
      <c r="F827" s="11" t="n">
        <v>2</v>
      </c>
      <c r="G827" s="11" t="n">
        <v>1</v>
      </c>
      <c r="H827" s="13" t="n">
        <v>45</v>
      </c>
      <c r="I827" s="16" t="n">
        <v>0</v>
      </c>
      <c r="J827" s="13" t="n">
        <f aca="false">G827*H827</f>
        <v>45</v>
      </c>
      <c r="K827" s="13" t="n">
        <f aca="false">J827*(1-I827)</f>
        <v>45</v>
      </c>
    </row>
    <row r="828" customFormat="false" ht="15" hidden="false" customHeight="false" outlineLevel="0" collapsed="false">
      <c r="A828" s="11" t="n">
        <v>827</v>
      </c>
      <c r="B828" s="15" t="n">
        <v>45931</v>
      </c>
      <c r="C828" s="11" t="n">
        <v>2</v>
      </c>
      <c r="D828" s="11" t="n">
        <v>5</v>
      </c>
      <c r="E828" s="11" t="n">
        <v>35</v>
      </c>
      <c r="F828" s="11" t="n">
        <v>1</v>
      </c>
      <c r="G828" s="11" t="n">
        <v>2</v>
      </c>
      <c r="H828" s="13" t="n">
        <v>35</v>
      </c>
      <c r="I828" s="16" t="n">
        <v>0</v>
      </c>
      <c r="J828" s="13" t="n">
        <f aca="false">G828*H828</f>
        <v>70</v>
      </c>
      <c r="K828" s="13" t="n">
        <f aca="false">J828*(1-I828)</f>
        <v>70</v>
      </c>
    </row>
    <row r="829" customFormat="false" ht="15" hidden="false" customHeight="false" outlineLevel="0" collapsed="false">
      <c r="A829" s="11" t="n">
        <v>828</v>
      </c>
      <c r="B829" s="15" t="n">
        <v>45931</v>
      </c>
      <c r="C829" s="11" t="n">
        <v>2</v>
      </c>
      <c r="D829" s="11" t="n">
        <v>4</v>
      </c>
      <c r="E829" s="11" t="n">
        <v>9</v>
      </c>
      <c r="F829" s="11" t="n">
        <v>17</v>
      </c>
      <c r="G829" s="11" t="n">
        <v>1</v>
      </c>
      <c r="H829" s="13" t="n">
        <v>28</v>
      </c>
      <c r="I829" s="16" t="n">
        <v>0</v>
      </c>
      <c r="J829" s="13" t="n">
        <f aca="false">G829*H829</f>
        <v>28</v>
      </c>
      <c r="K829" s="13" t="n">
        <f aca="false">J829*(1-I829)</f>
        <v>28</v>
      </c>
    </row>
    <row r="830" customFormat="false" ht="15" hidden="false" customHeight="false" outlineLevel="0" collapsed="false">
      <c r="A830" s="11" t="n">
        <v>829</v>
      </c>
      <c r="B830" s="15" t="n">
        <v>45932</v>
      </c>
      <c r="C830" s="11" t="n">
        <v>5</v>
      </c>
      <c r="D830" s="11" t="n">
        <v>10</v>
      </c>
      <c r="E830" s="11" t="n">
        <v>54</v>
      </c>
      <c r="F830" s="11" t="n">
        <v>10</v>
      </c>
      <c r="G830" s="11" t="n">
        <v>2</v>
      </c>
      <c r="H830" s="13" t="n">
        <v>70</v>
      </c>
      <c r="I830" s="16" t="n">
        <v>0</v>
      </c>
      <c r="J830" s="13" t="n">
        <f aca="false">G830*H830</f>
        <v>140</v>
      </c>
      <c r="K830" s="13" t="n">
        <f aca="false">J830*(1-I830)</f>
        <v>140</v>
      </c>
    </row>
    <row r="831" customFormat="false" ht="15" hidden="false" customHeight="false" outlineLevel="0" collapsed="false">
      <c r="A831" s="11" t="n">
        <v>830</v>
      </c>
      <c r="B831" s="15" t="n">
        <v>45932</v>
      </c>
      <c r="C831" s="11" t="n">
        <v>2</v>
      </c>
      <c r="D831" s="11" t="n">
        <v>5</v>
      </c>
      <c r="E831" s="11" t="n">
        <v>31</v>
      </c>
      <c r="F831" s="11" t="n">
        <v>4</v>
      </c>
      <c r="G831" s="11" t="n">
        <v>1</v>
      </c>
      <c r="H831" s="13" t="n">
        <v>55</v>
      </c>
      <c r="I831" s="16" t="n">
        <v>0</v>
      </c>
      <c r="J831" s="13" t="n">
        <f aca="false">G831*H831</f>
        <v>55</v>
      </c>
      <c r="K831" s="13" t="n">
        <f aca="false">J831*(1-I831)</f>
        <v>55</v>
      </c>
    </row>
    <row r="832" customFormat="false" ht="15" hidden="false" customHeight="false" outlineLevel="0" collapsed="false">
      <c r="A832" s="11" t="n">
        <v>831</v>
      </c>
      <c r="B832" s="15" t="n">
        <v>45932</v>
      </c>
      <c r="C832" s="11" t="n">
        <v>3</v>
      </c>
      <c r="D832" s="11" t="n">
        <v>7</v>
      </c>
      <c r="E832" s="11" t="n">
        <v>42</v>
      </c>
      <c r="F832" s="11" t="n">
        <v>10</v>
      </c>
      <c r="G832" s="11" t="n">
        <v>2</v>
      </c>
      <c r="H832" s="13" t="n">
        <v>70</v>
      </c>
      <c r="I832" s="16" t="n">
        <v>0</v>
      </c>
      <c r="J832" s="13" t="n">
        <f aca="false">G832*H832</f>
        <v>140</v>
      </c>
      <c r="K832" s="13" t="n">
        <f aca="false">J832*(1-I832)</f>
        <v>140</v>
      </c>
    </row>
    <row r="833" customFormat="false" ht="15" hidden="false" customHeight="false" outlineLevel="0" collapsed="false">
      <c r="A833" s="11" t="n">
        <v>832</v>
      </c>
      <c r="B833" s="15" t="n">
        <v>45933</v>
      </c>
      <c r="C833" s="11" t="n">
        <v>1</v>
      </c>
      <c r="D833" s="11" t="n">
        <v>3</v>
      </c>
      <c r="E833" s="11" t="n">
        <v>32</v>
      </c>
      <c r="F833" s="11" t="n">
        <v>15</v>
      </c>
      <c r="G833" s="11" t="n">
        <v>2</v>
      </c>
      <c r="H833" s="13" t="n">
        <v>65</v>
      </c>
      <c r="I833" s="16" t="n">
        <v>0</v>
      </c>
      <c r="J833" s="13" t="n">
        <f aca="false">G833*H833</f>
        <v>130</v>
      </c>
      <c r="K833" s="13" t="n">
        <f aca="false">J833*(1-I833)</f>
        <v>130</v>
      </c>
    </row>
    <row r="834" customFormat="false" ht="15" hidden="false" customHeight="false" outlineLevel="0" collapsed="false">
      <c r="A834" s="11" t="n">
        <v>833</v>
      </c>
      <c r="B834" s="15" t="n">
        <v>45933</v>
      </c>
      <c r="C834" s="11" t="n">
        <v>2</v>
      </c>
      <c r="D834" s="11" t="n">
        <v>5</v>
      </c>
      <c r="E834" s="11" t="n">
        <v>36</v>
      </c>
      <c r="F834" s="11" t="n">
        <v>16</v>
      </c>
      <c r="G834" s="11" t="n">
        <v>1</v>
      </c>
      <c r="H834" s="13" t="n">
        <v>45</v>
      </c>
      <c r="I834" s="16" t="n">
        <v>0</v>
      </c>
      <c r="J834" s="13" t="n">
        <f aca="false">G834*H834</f>
        <v>45</v>
      </c>
      <c r="K834" s="13" t="n">
        <f aca="false">J834*(1-I834)</f>
        <v>45</v>
      </c>
    </row>
    <row r="835" customFormat="false" ht="15" hidden="false" customHeight="false" outlineLevel="0" collapsed="false">
      <c r="A835" s="11" t="n">
        <v>834</v>
      </c>
      <c r="B835" s="15" t="n">
        <v>45933</v>
      </c>
      <c r="C835" s="11" t="n">
        <v>4</v>
      </c>
      <c r="D835" s="11" t="n">
        <v>9</v>
      </c>
      <c r="E835" s="11" t="n">
        <v>25</v>
      </c>
      <c r="F835" s="11" t="n">
        <v>8</v>
      </c>
      <c r="G835" s="11" t="n">
        <v>3</v>
      </c>
      <c r="H835" s="13" t="n">
        <v>52</v>
      </c>
      <c r="I835" s="16" t="n">
        <v>0</v>
      </c>
      <c r="J835" s="13" t="n">
        <f aca="false">G835*H835</f>
        <v>156</v>
      </c>
      <c r="K835" s="13" t="n">
        <f aca="false">J835*(1-I835)</f>
        <v>156</v>
      </c>
    </row>
    <row r="836" customFormat="false" ht="15" hidden="false" customHeight="false" outlineLevel="0" collapsed="false">
      <c r="A836" s="11" t="n">
        <v>835</v>
      </c>
      <c r="B836" s="15" t="n">
        <v>45934</v>
      </c>
      <c r="C836" s="11" t="n">
        <v>1</v>
      </c>
      <c r="D836" s="11" t="n">
        <v>3</v>
      </c>
      <c r="E836" s="11" t="n">
        <v>27</v>
      </c>
      <c r="F836" s="11" t="n">
        <v>20</v>
      </c>
      <c r="G836" s="11" t="n">
        <v>2</v>
      </c>
      <c r="H836" s="13" t="n">
        <v>88</v>
      </c>
      <c r="I836" s="16" t="n">
        <v>0.05</v>
      </c>
      <c r="J836" s="13" t="n">
        <f aca="false">G836*H836</f>
        <v>176</v>
      </c>
      <c r="K836" s="13" t="n">
        <f aca="false">J836*(1-I836)</f>
        <v>167.2</v>
      </c>
    </row>
    <row r="837" customFormat="false" ht="15" hidden="false" customHeight="false" outlineLevel="0" collapsed="false">
      <c r="A837" s="11" t="n">
        <v>836</v>
      </c>
      <c r="B837" s="15" t="n">
        <v>45934</v>
      </c>
      <c r="C837" s="11" t="n">
        <v>4</v>
      </c>
      <c r="D837" s="11" t="n">
        <v>8</v>
      </c>
      <c r="E837" s="11" t="n">
        <v>14</v>
      </c>
      <c r="F837" s="11" t="n">
        <v>2</v>
      </c>
      <c r="G837" s="11" t="n">
        <v>1</v>
      </c>
      <c r="H837" s="13" t="n">
        <v>45</v>
      </c>
      <c r="I837" s="16" t="n">
        <v>0</v>
      </c>
      <c r="J837" s="13" t="n">
        <f aca="false">G837*H837</f>
        <v>45</v>
      </c>
      <c r="K837" s="13" t="n">
        <f aca="false">J837*(1-I837)</f>
        <v>45</v>
      </c>
    </row>
    <row r="838" customFormat="false" ht="15" hidden="false" customHeight="false" outlineLevel="0" collapsed="false">
      <c r="A838" s="11" t="n">
        <v>837</v>
      </c>
      <c r="B838" s="15" t="n">
        <v>45934</v>
      </c>
      <c r="C838" s="11" t="n">
        <v>2</v>
      </c>
      <c r="D838" s="11" t="n">
        <v>5</v>
      </c>
      <c r="E838" s="11" t="n">
        <v>31</v>
      </c>
      <c r="F838" s="11" t="n">
        <v>8</v>
      </c>
      <c r="G838" s="11" t="n">
        <v>4</v>
      </c>
      <c r="H838" s="13" t="n">
        <v>52</v>
      </c>
      <c r="I838" s="16" t="n">
        <v>0</v>
      </c>
      <c r="J838" s="13" t="n">
        <f aca="false">G838*H838</f>
        <v>208</v>
      </c>
      <c r="K838" s="13" t="n">
        <f aca="false">J838*(1-I838)</f>
        <v>208</v>
      </c>
    </row>
    <row r="839" customFormat="false" ht="15" hidden="false" customHeight="false" outlineLevel="0" collapsed="false">
      <c r="A839" s="11" t="n">
        <v>838</v>
      </c>
      <c r="B839" s="15" t="n">
        <v>45935</v>
      </c>
      <c r="C839" s="11" t="n">
        <v>1</v>
      </c>
      <c r="D839" s="11" t="n">
        <v>1</v>
      </c>
      <c r="E839" s="11" t="n">
        <v>36</v>
      </c>
      <c r="F839" s="11" t="n">
        <v>10</v>
      </c>
      <c r="G839" s="11" t="n">
        <v>2</v>
      </c>
      <c r="H839" s="13" t="n">
        <v>70</v>
      </c>
      <c r="I839" s="16" t="n">
        <v>0</v>
      </c>
      <c r="J839" s="13" t="n">
        <f aca="false">G839*H839</f>
        <v>140</v>
      </c>
      <c r="K839" s="13" t="n">
        <f aca="false">J839*(1-I839)</f>
        <v>140</v>
      </c>
    </row>
    <row r="840" customFormat="false" ht="15" hidden="false" customHeight="false" outlineLevel="0" collapsed="false">
      <c r="A840" s="11" t="n">
        <v>839</v>
      </c>
      <c r="B840" s="15" t="n">
        <v>45935</v>
      </c>
      <c r="C840" s="11" t="n">
        <v>3</v>
      </c>
      <c r="D840" s="11" t="n">
        <v>7</v>
      </c>
      <c r="E840" s="11" t="n">
        <v>14</v>
      </c>
      <c r="F840" s="11" t="n">
        <v>3</v>
      </c>
      <c r="G840" s="11" t="n">
        <v>1</v>
      </c>
      <c r="H840" s="13" t="n">
        <v>38</v>
      </c>
      <c r="I840" s="16" t="n">
        <v>0</v>
      </c>
      <c r="J840" s="13" t="n">
        <f aca="false">G840*H840</f>
        <v>38</v>
      </c>
      <c r="K840" s="13" t="n">
        <f aca="false">J840*(1-I840)</f>
        <v>38</v>
      </c>
    </row>
    <row r="841" customFormat="false" ht="15" hidden="false" customHeight="false" outlineLevel="0" collapsed="false">
      <c r="A841" s="11" t="n">
        <v>840</v>
      </c>
      <c r="B841" s="15" t="n">
        <v>45935</v>
      </c>
      <c r="C841" s="11" t="n">
        <v>5</v>
      </c>
      <c r="D841" s="11" t="n">
        <v>10</v>
      </c>
      <c r="E841" s="11" t="n">
        <v>45</v>
      </c>
      <c r="F841" s="11" t="n">
        <v>7</v>
      </c>
      <c r="G841" s="11" t="n">
        <v>1</v>
      </c>
      <c r="H841" s="13" t="n">
        <v>50</v>
      </c>
      <c r="I841" s="16" t="n">
        <v>0</v>
      </c>
      <c r="J841" s="13" t="n">
        <f aca="false">G841*H841</f>
        <v>50</v>
      </c>
      <c r="K841" s="13" t="n">
        <f aca="false">J841*(1-I841)</f>
        <v>50</v>
      </c>
    </row>
    <row r="842" customFormat="false" ht="15" hidden="false" customHeight="false" outlineLevel="0" collapsed="false">
      <c r="A842" s="11" t="n">
        <v>841</v>
      </c>
      <c r="B842" s="15" t="n">
        <v>45935</v>
      </c>
      <c r="C842" s="11" t="n">
        <v>2</v>
      </c>
      <c r="D842" s="11" t="n">
        <v>5</v>
      </c>
      <c r="E842" s="11" t="n">
        <v>44</v>
      </c>
      <c r="F842" s="11" t="n">
        <v>6</v>
      </c>
      <c r="G842" s="11" t="n">
        <v>1</v>
      </c>
      <c r="H842" s="13" t="n">
        <v>62</v>
      </c>
      <c r="I842" s="16" t="n">
        <v>0.1</v>
      </c>
      <c r="J842" s="13" t="n">
        <f aca="false">G842*H842</f>
        <v>62</v>
      </c>
      <c r="K842" s="13" t="n">
        <f aca="false">J842*(1-I842)</f>
        <v>55.8</v>
      </c>
    </row>
    <row r="843" customFormat="false" ht="15" hidden="false" customHeight="false" outlineLevel="0" collapsed="false">
      <c r="A843" s="11" t="n">
        <v>842</v>
      </c>
      <c r="B843" s="15" t="n">
        <v>45936</v>
      </c>
      <c r="C843" s="11" t="n">
        <v>3</v>
      </c>
      <c r="D843" s="11" t="n">
        <v>7</v>
      </c>
      <c r="E843" s="11" t="n">
        <v>26</v>
      </c>
      <c r="F843" s="11" t="n">
        <v>18</v>
      </c>
      <c r="G843" s="11" t="n">
        <v>3</v>
      </c>
      <c r="H843" s="13" t="n">
        <v>95</v>
      </c>
      <c r="I843" s="16" t="n">
        <v>0</v>
      </c>
      <c r="J843" s="13" t="n">
        <f aca="false">G843*H843</f>
        <v>285</v>
      </c>
      <c r="K843" s="13" t="n">
        <f aca="false">J843*(1-I843)</f>
        <v>285</v>
      </c>
    </row>
    <row r="844" customFormat="false" ht="15" hidden="false" customHeight="false" outlineLevel="0" collapsed="false">
      <c r="A844" s="11" t="n">
        <v>843</v>
      </c>
      <c r="B844" s="15" t="n">
        <v>45936</v>
      </c>
      <c r="C844" s="11" t="n">
        <v>1</v>
      </c>
      <c r="D844" s="11" t="n">
        <v>3</v>
      </c>
      <c r="E844" s="11" t="n">
        <v>31</v>
      </c>
      <c r="F844" s="11" t="n">
        <v>9</v>
      </c>
      <c r="G844" s="11" t="n">
        <v>2</v>
      </c>
      <c r="H844" s="13" t="n">
        <v>40</v>
      </c>
      <c r="I844" s="16" t="n">
        <v>0.15</v>
      </c>
      <c r="J844" s="13" t="n">
        <f aca="false">G844*H844</f>
        <v>80</v>
      </c>
      <c r="K844" s="13" t="n">
        <f aca="false">J844*(1-I844)</f>
        <v>68</v>
      </c>
    </row>
    <row r="845" customFormat="false" ht="15" hidden="false" customHeight="false" outlineLevel="0" collapsed="false">
      <c r="A845" s="11" t="n">
        <v>844</v>
      </c>
      <c r="B845" s="15" t="n">
        <v>45936</v>
      </c>
      <c r="C845" s="11" t="n">
        <v>4</v>
      </c>
      <c r="D845" s="11" t="n">
        <v>8</v>
      </c>
      <c r="E845" s="11" t="n">
        <v>48</v>
      </c>
      <c r="F845" s="11" t="n">
        <v>19</v>
      </c>
      <c r="G845" s="11" t="n">
        <v>3</v>
      </c>
      <c r="H845" s="13" t="n">
        <v>125</v>
      </c>
      <c r="I845" s="16" t="n">
        <v>0</v>
      </c>
      <c r="J845" s="13" t="n">
        <f aca="false">G845*H845</f>
        <v>375</v>
      </c>
      <c r="K845" s="13" t="n">
        <f aca="false">J845*(1-I845)</f>
        <v>375</v>
      </c>
    </row>
    <row r="846" customFormat="false" ht="15" hidden="false" customHeight="false" outlineLevel="0" collapsed="false">
      <c r="A846" s="11" t="n">
        <v>845</v>
      </c>
      <c r="B846" s="15" t="n">
        <v>45937</v>
      </c>
      <c r="C846" s="11" t="n">
        <v>4</v>
      </c>
      <c r="D846" s="11" t="n">
        <v>9</v>
      </c>
      <c r="E846" s="11" t="n">
        <v>33</v>
      </c>
      <c r="F846" s="11" t="n">
        <v>15</v>
      </c>
      <c r="G846" s="11" t="n">
        <v>1</v>
      </c>
      <c r="H846" s="13" t="n">
        <v>65</v>
      </c>
      <c r="I846" s="16" t="n">
        <v>0</v>
      </c>
      <c r="J846" s="13" t="n">
        <f aca="false">G846*H846</f>
        <v>65</v>
      </c>
      <c r="K846" s="13" t="n">
        <f aca="false">J846*(1-I846)</f>
        <v>65</v>
      </c>
    </row>
    <row r="847" customFormat="false" ht="15" hidden="false" customHeight="false" outlineLevel="0" collapsed="false">
      <c r="A847" s="11" t="n">
        <v>846</v>
      </c>
      <c r="B847" s="15" t="n">
        <v>45938</v>
      </c>
      <c r="C847" s="11" t="n">
        <v>1</v>
      </c>
      <c r="D847" s="11" t="n">
        <v>2</v>
      </c>
      <c r="E847" s="11" t="n">
        <v>15</v>
      </c>
      <c r="F847" s="11" t="n">
        <v>2</v>
      </c>
      <c r="G847" s="11" t="n">
        <v>2</v>
      </c>
      <c r="H847" s="13" t="n">
        <v>45</v>
      </c>
      <c r="I847" s="16" t="n">
        <v>0</v>
      </c>
      <c r="J847" s="13" t="n">
        <f aca="false">G847*H847</f>
        <v>90</v>
      </c>
      <c r="K847" s="13" t="n">
        <f aca="false">J847*(1-I847)</f>
        <v>90</v>
      </c>
    </row>
    <row r="848" customFormat="false" ht="15" hidden="false" customHeight="false" outlineLevel="0" collapsed="false">
      <c r="A848" s="11" t="n">
        <v>847</v>
      </c>
      <c r="B848" s="15" t="n">
        <v>45939</v>
      </c>
      <c r="C848" s="11" t="n">
        <v>2</v>
      </c>
      <c r="D848" s="11" t="n">
        <v>5</v>
      </c>
      <c r="E848" s="11" t="n">
        <v>3</v>
      </c>
      <c r="F848" s="11" t="n">
        <v>2</v>
      </c>
      <c r="G848" s="11" t="n">
        <v>2</v>
      </c>
      <c r="H848" s="13" t="n">
        <v>45</v>
      </c>
      <c r="I848" s="16" t="n">
        <v>0</v>
      </c>
      <c r="J848" s="13" t="n">
        <f aca="false">G848*H848</f>
        <v>90</v>
      </c>
      <c r="K848" s="13" t="n">
        <f aca="false">J848*(1-I848)</f>
        <v>90</v>
      </c>
    </row>
    <row r="849" customFormat="false" ht="15" hidden="false" customHeight="false" outlineLevel="0" collapsed="false">
      <c r="A849" s="11" t="n">
        <v>848</v>
      </c>
      <c r="B849" s="15" t="n">
        <v>45939</v>
      </c>
      <c r="C849" s="11" t="n">
        <v>1</v>
      </c>
      <c r="D849" s="11" t="n">
        <v>2</v>
      </c>
      <c r="E849" s="11" t="n">
        <v>22</v>
      </c>
      <c r="F849" s="11" t="n">
        <v>7</v>
      </c>
      <c r="G849" s="11" t="n">
        <v>1</v>
      </c>
      <c r="H849" s="13" t="n">
        <v>50</v>
      </c>
      <c r="I849" s="16" t="n">
        <v>0</v>
      </c>
      <c r="J849" s="13" t="n">
        <f aca="false">G849*H849</f>
        <v>50</v>
      </c>
      <c r="K849" s="13" t="n">
        <f aca="false">J849*(1-I849)</f>
        <v>50</v>
      </c>
    </row>
    <row r="850" customFormat="false" ht="15" hidden="false" customHeight="false" outlineLevel="0" collapsed="false">
      <c r="A850" s="11" t="n">
        <v>849</v>
      </c>
      <c r="B850" s="15" t="n">
        <v>45939</v>
      </c>
      <c r="C850" s="11" t="n">
        <v>2</v>
      </c>
      <c r="D850" s="11" t="n">
        <v>5</v>
      </c>
      <c r="E850" s="11" t="n">
        <v>30</v>
      </c>
      <c r="F850" s="11" t="n">
        <v>10</v>
      </c>
      <c r="G850" s="11" t="n">
        <v>1</v>
      </c>
      <c r="H850" s="13" t="n">
        <v>70</v>
      </c>
      <c r="I850" s="16" t="n">
        <v>0</v>
      </c>
      <c r="J850" s="13" t="n">
        <f aca="false">G850*H850</f>
        <v>70</v>
      </c>
      <c r="K850" s="13" t="n">
        <f aca="false">J850*(1-I850)</f>
        <v>70</v>
      </c>
    </row>
    <row r="851" customFormat="false" ht="15" hidden="false" customHeight="false" outlineLevel="0" collapsed="false">
      <c r="A851" s="11" t="n">
        <v>850</v>
      </c>
      <c r="B851" s="15" t="n">
        <v>45940</v>
      </c>
      <c r="C851" s="11" t="n">
        <v>4</v>
      </c>
      <c r="D851" s="11" t="n">
        <v>9</v>
      </c>
      <c r="E851" s="11" t="n">
        <v>53</v>
      </c>
      <c r="F851" s="11" t="n">
        <v>18</v>
      </c>
      <c r="G851" s="11" t="n">
        <v>1</v>
      </c>
      <c r="H851" s="13" t="n">
        <v>95</v>
      </c>
      <c r="I851" s="16" t="n">
        <v>0</v>
      </c>
      <c r="J851" s="13" t="n">
        <f aca="false">G851*H851</f>
        <v>95</v>
      </c>
      <c r="K851" s="13" t="n">
        <f aca="false">J851*(1-I851)</f>
        <v>95</v>
      </c>
    </row>
    <row r="852" customFormat="false" ht="15" hidden="false" customHeight="false" outlineLevel="0" collapsed="false">
      <c r="A852" s="11" t="n">
        <v>851</v>
      </c>
      <c r="B852" s="15" t="n">
        <v>45940</v>
      </c>
      <c r="C852" s="11" t="n">
        <v>2</v>
      </c>
      <c r="D852" s="11" t="n">
        <v>5</v>
      </c>
      <c r="E852" s="11" t="n">
        <v>1</v>
      </c>
      <c r="F852" s="11" t="n">
        <v>12</v>
      </c>
      <c r="G852" s="11" t="n">
        <v>1</v>
      </c>
      <c r="H852" s="13" t="n">
        <v>45</v>
      </c>
      <c r="I852" s="16" t="n">
        <v>0</v>
      </c>
      <c r="J852" s="13" t="n">
        <f aca="false">G852*H852</f>
        <v>45</v>
      </c>
      <c r="K852" s="13" t="n">
        <f aca="false">J852*(1-I852)</f>
        <v>45</v>
      </c>
    </row>
    <row r="853" customFormat="false" ht="15" hidden="false" customHeight="false" outlineLevel="0" collapsed="false">
      <c r="A853" s="11" t="n">
        <v>852</v>
      </c>
      <c r="B853" s="15" t="n">
        <v>45940</v>
      </c>
      <c r="C853" s="11" t="n">
        <v>1</v>
      </c>
      <c r="D853" s="11" t="n">
        <v>3</v>
      </c>
      <c r="E853" s="11" t="n">
        <v>16</v>
      </c>
      <c r="F853" s="11" t="n">
        <v>14</v>
      </c>
      <c r="G853" s="11" t="n">
        <v>1</v>
      </c>
      <c r="H853" s="13" t="n">
        <v>38</v>
      </c>
      <c r="I853" s="16" t="n">
        <v>0</v>
      </c>
      <c r="J853" s="13" t="n">
        <f aca="false">G853*H853</f>
        <v>38</v>
      </c>
      <c r="K853" s="13" t="n">
        <f aca="false">J853*(1-I853)</f>
        <v>38</v>
      </c>
    </row>
    <row r="854" customFormat="false" ht="15" hidden="false" customHeight="false" outlineLevel="0" collapsed="false">
      <c r="A854" s="11" t="n">
        <v>853</v>
      </c>
      <c r="B854" s="15" t="n">
        <v>45940</v>
      </c>
      <c r="C854" s="11" t="n">
        <v>1</v>
      </c>
      <c r="D854" s="11" t="n">
        <v>3</v>
      </c>
      <c r="E854" s="11" t="n">
        <v>1</v>
      </c>
      <c r="F854" s="11" t="n">
        <v>19</v>
      </c>
      <c r="G854" s="11" t="n">
        <v>1</v>
      </c>
      <c r="H854" s="13" t="n">
        <v>125</v>
      </c>
      <c r="I854" s="16" t="n">
        <v>0.15</v>
      </c>
      <c r="J854" s="13" t="n">
        <f aca="false">G854*H854</f>
        <v>125</v>
      </c>
      <c r="K854" s="13" t="n">
        <f aca="false">J854*(1-I854)</f>
        <v>106.25</v>
      </c>
    </row>
    <row r="855" customFormat="false" ht="15" hidden="false" customHeight="false" outlineLevel="0" collapsed="false">
      <c r="A855" s="11" t="n">
        <v>854</v>
      </c>
      <c r="B855" s="15" t="n">
        <v>45940</v>
      </c>
      <c r="C855" s="11" t="n">
        <v>1</v>
      </c>
      <c r="D855" s="11" t="n">
        <v>3</v>
      </c>
      <c r="E855" s="11" t="n">
        <v>33</v>
      </c>
      <c r="F855" s="11" t="n">
        <v>3</v>
      </c>
      <c r="G855" s="11" t="n">
        <v>1</v>
      </c>
      <c r="H855" s="13" t="n">
        <v>38</v>
      </c>
      <c r="I855" s="16" t="n">
        <v>0</v>
      </c>
      <c r="J855" s="13" t="n">
        <f aca="false">G855*H855</f>
        <v>38</v>
      </c>
      <c r="K855" s="13" t="n">
        <f aca="false">J855*(1-I855)</f>
        <v>38</v>
      </c>
    </row>
    <row r="856" customFormat="false" ht="15" hidden="false" customHeight="false" outlineLevel="0" collapsed="false">
      <c r="A856" s="11" t="n">
        <v>855</v>
      </c>
      <c r="B856" s="15" t="n">
        <v>45940</v>
      </c>
      <c r="C856" s="11" t="n">
        <v>1</v>
      </c>
      <c r="D856" s="11" t="n">
        <v>1</v>
      </c>
      <c r="E856" s="11" t="n">
        <v>59</v>
      </c>
      <c r="F856" s="11" t="n">
        <v>15</v>
      </c>
      <c r="G856" s="11" t="n">
        <v>2</v>
      </c>
      <c r="H856" s="13" t="n">
        <v>65</v>
      </c>
      <c r="I856" s="16" t="n">
        <v>0.05</v>
      </c>
      <c r="J856" s="13" t="n">
        <f aca="false">G856*H856</f>
        <v>130</v>
      </c>
      <c r="K856" s="13" t="n">
        <f aca="false">J856*(1-I856)</f>
        <v>123.5</v>
      </c>
    </row>
    <row r="857" customFormat="false" ht="15" hidden="false" customHeight="false" outlineLevel="0" collapsed="false">
      <c r="A857" s="11" t="n">
        <v>856</v>
      </c>
      <c r="B857" s="15" t="n">
        <v>45940</v>
      </c>
      <c r="C857" s="11" t="n">
        <v>3</v>
      </c>
      <c r="D857" s="11" t="n">
        <v>6</v>
      </c>
      <c r="E857" s="11" t="n">
        <v>10</v>
      </c>
      <c r="F857" s="11" t="n">
        <v>16</v>
      </c>
      <c r="G857" s="11" t="n">
        <v>1</v>
      </c>
      <c r="H857" s="13" t="n">
        <v>45</v>
      </c>
      <c r="I857" s="16" t="n">
        <v>0</v>
      </c>
      <c r="J857" s="13" t="n">
        <f aca="false">G857*H857</f>
        <v>45</v>
      </c>
      <c r="K857" s="13" t="n">
        <f aca="false">J857*(1-I857)</f>
        <v>45</v>
      </c>
    </row>
    <row r="858" customFormat="false" ht="15" hidden="false" customHeight="false" outlineLevel="0" collapsed="false">
      <c r="A858" s="11" t="n">
        <v>857</v>
      </c>
      <c r="B858" s="15" t="n">
        <v>45941</v>
      </c>
      <c r="C858" s="11" t="n">
        <v>4</v>
      </c>
      <c r="D858" s="11" t="n">
        <v>8</v>
      </c>
      <c r="E858" s="11" t="n">
        <v>3</v>
      </c>
      <c r="F858" s="11" t="n">
        <v>10</v>
      </c>
      <c r="G858" s="11" t="n">
        <v>3</v>
      </c>
      <c r="H858" s="13" t="n">
        <v>70</v>
      </c>
      <c r="I858" s="16" t="n">
        <v>0</v>
      </c>
      <c r="J858" s="13" t="n">
        <f aca="false">G858*H858</f>
        <v>210</v>
      </c>
      <c r="K858" s="13" t="n">
        <f aca="false">J858*(1-I858)</f>
        <v>210</v>
      </c>
    </row>
    <row r="859" customFormat="false" ht="15" hidden="false" customHeight="false" outlineLevel="0" collapsed="false">
      <c r="A859" s="11" t="n">
        <v>858</v>
      </c>
      <c r="B859" s="15" t="n">
        <v>45941</v>
      </c>
      <c r="C859" s="11" t="n">
        <v>2</v>
      </c>
      <c r="D859" s="11" t="n">
        <v>5</v>
      </c>
      <c r="E859" s="11" t="n">
        <v>53</v>
      </c>
      <c r="F859" s="11" t="n">
        <v>3</v>
      </c>
      <c r="G859" s="11" t="n">
        <v>2</v>
      </c>
      <c r="H859" s="13" t="n">
        <v>38</v>
      </c>
      <c r="I859" s="16" t="n">
        <v>0.05</v>
      </c>
      <c r="J859" s="13" t="n">
        <f aca="false">G859*H859</f>
        <v>76</v>
      </c>
      <c r="K859" s="13" t="n">
        <f aca="false">J859*(1-I859)</f>
        <v>72.2</v>
      </c>
    </row>
    <row r="860" customFormat="false" ht="15" hidden="false" customHeight="false" outlineLevel="0" collapsed="false">
      <c r="A860" s="11" t="n">
        <v>859</v>
      </c>
      <c r="B860" s="15" t="n">
        <v>45941</v>
      </c>
      <c r="C860" s="11" t="n">
        <v>1</v>
      </c>
      <c r="D860" s="11" t="n">
        <v>1</v>
      </c>
      <c r="E860" s="11" t="n">
        <v>34</v>
      </c>
      <c r="F860" s="11" t="n">
        <v>5</v>
      </c>
      <c r="G860" s="11" t="n">
        <v>1</v>
      </c>
      <c r="H860" s="13" t="n">
        <v>58</v>
      </c>
      <c r="I860" s="16" t="n">
        <v>0</v>
      </c>
      <c r="J860" s="13" t="n">
        <f aca="false">G860*H860</f>
        <v>58</v>
      </c>
      <c r="K860" s="13" t="n">
        <f aca="false">J860*(1-I860)</f>
        <v>58</v>
      </c>
    </row>
    <row r="861" customFormat="false" ht="15" hidden="false" customHeight="false" outlineLevel="0" collapsed="false">
      <c r="A861" s="11" t="n">
        <v>860</v>
      </c>
      <c r="B861" s="15" t="n">
        <v>45941</v>
      </c>
      <c r="C861" s="11" t="n">
        <v>1</v>
      </c>
      <c r="D861" s="11" t="n">
        <v>3</v>
      </c>
      <c r="E861" s="11" t="n">
        <v>21</v>
      </c>
      <c r="F861" s="11" t="n">
        <v>16</v>
      </c>
      <c r="G861" s="11" t="n">
        <v>1</v>
      </c>
      <c r="H861" s="13" t="n">
        <v>45</v>
      </c>
      <c r="I861" s="16" t="n">
        <v>0</v>
      </c>
      <c r="J861" s="13" t="n">
        <f aca="false">G861*H861</f>
        <v>45</v>
      </c>
      <c r="K861" s="13" t="n">
        <f aca="false">J861*(1-I861)</f>
        <v>45</v>
      </c>
    </row>
    <row r="862" customFormat="false" ht="15" hidden="false" customHeight="false" outlineLevel="0" collapsed="false">
      <c r="A862" s="11" t="n">
        <v>861</v>
      </c>
      <c r="B862" s="15" t="n">
        <v>45941</v>
      </c>
      <c r="C862" s="11" t="n">
        <v>1</v>
      </c>
      <c r="D862" s="11" t="n">
        <v>3</v>
      </c>
      <c r="E862" s="11" t="n">
        <v>4</v>
      </c>
      <c r="F862" s="11" t="n">
        <v>8</v>
      </c>
      <c r="G862" s="11" t="n">
        <v>3</v>
      </c>
      <c r="H862" s="13" t="n">
        <v>52</v>
      </c>
      <c r="I862" s="16" t="n">
        <v>0</v>
      </c>
      <c r="J862" s="13" t="n">
        <f aca="false">G862*H862</f>
        <v>156</v>
      </c>
      <c r="K862" s="13" t="n">
        <f aca="false">J862*(1-I862)</f>
        <v>156</v>
      </c>
    </row>
    <row r="863" customFormat="false" ht="15" hidden="false" customHeight="false" outlineLevel="0" collapsed="false">
      <c r="A863" s="11" t="n">
        <v>862</v>
      </c>
      <c r="B863" s="15" t="n">
        <v>45942</v>
      </c>
      <c r="C863" s="11" t="n">
        <v>3</v>
      </c>
      <c r="D863" s="11" t="n">
        <v>7</v>
      </c>
      <c r="E863" s="11" t="n">
        <v>44</v>
      </c>
      <c r="F863" s="11" t="n">
        <v>18</v>
      </c>
      <c r="G863" s="11" t="n">
        <v>1</v>
      </c>
      <c r="H863" s="13" t="n">
        <v>95</v>
      </c>
      <c r="I863" s="16" t="n">
        <v>0</v>
      </c>
      <c r="J863" s="13" t="n">
        <f aca="false">G863*H863</f>
        <v>95</v>
      </c>
      <c r="K863" s="13" t="n">
        <f aca="false">J863*(1-I863)</f>
        <v>95</v>
      </c>
    </row>
    <row r="864" customFormat="false" ht="15" hidden="false" customHeight="false" outlineLevel="0" collapsed="false">
      <c r="A864" s="11" t="n">
        <v>863</v>
      </c>
      <c r="B864" s="15" t="n">
        <v>45942</v>
      </c>
      <c r="C864" s="11" t="n">
        <v>2</v>
      </c>
      <c r="D864" s="11" t="n">
        <v>4</v>
      </c>
      <c r="E864" s="11" t="n">
        <v>39</v>
      </c>
      <c r="F864" s="11" t="n">
        <v>5</v>
      </c>
      <c r="G864" s="11" t="n">
        <v>2</v>
      </c>
      <c r="H864" s="13" t="n">
        <v>58</v>
      </c>
      <c r="I864" s="16" t="n">
        <v>0.1</v>
      </c>
      <c r="J864" s="13" t="n">
        <f aca="false">G864*H864</f>
        <v>116</v>
      </c>
      <c r="K864" s="13" t="n">
        <f aca="false">J864*(1-I864)</f>
        <v>104.4</v>
      </c>
    </row>
    <row r="865" customFormat="false" ht="15" hidden="false" customHeight="false" outlineLevel="0" collapsed="false">
      <c r="A865" s="11" t="n">
        <v>864</v>
      </c>
      <c r="B865" s="15" t="n">
        <v>45942</v>
      </c>
      <c r="C865" s="11" t="n">
        <v>2</v>
      </c>
      <c r="D865" s="11" t="n">
        <v>4</v>
      </c>
      <c r="E865" s="11" t="n">
        <v>38</v>
      </c>
      <c r="F865" s="11" t="n">
        <v>4</v>
      </c>
      <c r="G865" s="11" t="n">
        <v>1</v>
      </c>
      <c r="H865" s="13" t="n">
        <v>55</v>
      </c>
      <c r="I865" s="16" t="n">
        <v>0</v>
      </c>
      <c r="J865" s="13" t="n">
        <f aca="false">G865*H865</f>
        <v>55</v>
      </c>
      <c r="K865" s="13" t="n">
        <f aca="false">J865*(1-I865)</f>
        <v>55</v>
      </c>
    </row>
    <row r="866" customFormat="false" ht="15" hidden="false" customHeight="false" outlineLevel="0" collapsed="false">
      <c r="A866" s="11" t="n">
        <v>865</v>
      </c>
      <c r="B866" s="15" t="n">
        <v>45942</v>
      </c>
      <c r="C866" s="11" t="n">
        <v>3</v>
      </c>
      <c r="D866" s="11" t="n">
        <v>7</v>
      </c>
      <c r="E866" s="11" t="n">
        <v>23</v>
      </c>
      <c r="F866" s="11" t="n">
        <v>19</v>
      </c>
      <c r="G866" s="11" t="n">
        <v>1</v>
      </c>
      <c r="H866" s="13" t="n">
        <v>125</v>
      </c>
      <c r="I866" s="16" t="n">
        <v>0</v>
      </c>
      <c r="J866" s="13" t="n">
        <f aca="false">G866*H866</f>
        <v>125</v>
      </c>
      <c r="K866" s="13" t="n">
        <f aca="false">J866*(1-I866)</f>
        <v>125</v>
      </c>
    </row>
    <row r="867" customFormat="false" ht="15" hidden="false" customHeight="false" outlineLevel="0" collapsed="false">
      <c r="A867" s="11" t="n">
        <v>866</v>
      </c>
      <c r="B867" s="15" t="n">
        <v>45942</v>
      </c>
      <c r="C867" s="11" t="n">
        <v>2</v>
      </c>
      <c r="D867" s="11" t="n">
        <v>4</v>
      </c>
      <c r="E867" s="11" t="n">
        <v>25</v>
      </c>
      <c r="F867" s="11" t="n">
        <v>17</v>
      </c>
      <c r="G867" s="11" t="n">
        <v>2</v>
      </c>
      <c r="H867" s="13" t="n">
        <v>28</v>
      </c>
      <c r="I867" s="16" t="n">
        <v>0</v>
      </c>
      <c r="J867" s="13" t="n">
        <f aca="false">G867*H867</f>
        <v>56</v>
      </c>
      <c r="K867" s="13" t="n">
        <f aca="false">J867*(1-I867)</f>
        <v>56</v>
      </c>
    </row>
    <row r="868" customFormat="false" ht="15" hidden="false" customHeight="false" outlineLevel="0" collapsed="false">
      <c r="A868" s="11" t="n">
        <v>867</v>
      </c>
      <c r="B868" s="15" t="n">
        <v>45942</v>
      </c>
      <c r="C868" s="11" t="n">
        <v>3</v>
      </c>
      <c r="D868" s="11" t="n">
        <v>7</v>
      </c>
      <c r="E868" s="11" t="n">
        <v>12</v>
      </c>
      <c r="F868" s="11" t="n">
        <v>11</v>
      </c>
      <c r="G868" s="11" t="n">
        <v>2</v>
      </c>
      <c r="H868" s="13" t="n">
        <v>72</v>
      </c>
      <c r="I868" s="16" t="n">
        <v>0</v>
      </c>
      <c r="J868" s="13" t="n">
        <f aca="false">G868*H868</f>
        <v>144</v>
      </c>
      <c r="K868" s="13" t="n">
        <f aca="false">J868*(1-I868)</f>
        <v>144</v>
      </c>
    </row>
    <row r="869" customFormat="false" ht="15" hidden="false" customHeight="false" outlineLevel="0" collapsed="false">
      <c r="A869" s="11" t="n">
        <v>868</v>
      </c>
      <c r="B869" s="15" t="n">
        <v>45942</v>
      </c>
      <c r="C869" s="11" t="n">
        <v>3</v>
      </c>
      <c r="D869" s="11" t="n">
        <v>7</v>
      </c>
      <c r="E869" s="11" t="n">
        <v>26</v>
      </c>
      <c r="F869" s="11" t="n">
        <v>12</v>
      </c>
      <c r="G869" s="11" t="n">
        <v>1</v>
      </c>
      <c r="H869" s="13" t="n">
        <v>45</v>
      </c>
      <c r="I869" s="16" t="n">
        <v>0</v>
      </c>
      <c r="J869" s="13" t="n">
        <f aca="false">G869*H869</f>
        <v>45</v>
      </c>
      <c r="K869" s="13" t="n">
        <f aca="false">J869*(1-I869)</f>
        <v>45</v>
      </c>
    </row>
    <row r="870" customFormat="false" ht="15" hidden="false" customHeight="false" outlineLevel="0" collapsed="false">
      <c r="A870" s="11" t="n">
        <v>869</v>
      </c>
      <c r="B870" s="15" t="n">
        <v>45943</v>
      </c>
      <c r="C870" s="11" t="n">
        <v>3</v>
      </c>
      <c r="D870" s="11" t="n">
        <v>6</v>
      </c>
      <c r="E870" s="11" t="n">
        <v>10</v>
      </c>
      <c r="F870" s="11" t="n">
        <v>1</v>
      </c>
      <c r="G870" s="11" t="n">
        <v>3</v>
      </c>
      <c r="H870" s="13" t="n">
        <v>35</v>
      </c>
      <c r="I870" s="16" t="n">
        <v>0.05</v>
      </c>
      <c r="J870" s="13" t="n">
        <f aca="false">G870*H870</f>
        <v>105</v>
      </c>
      <c r="K870" s="13" t="n">
        <f aca="false">J870*(1-I870)</f>
        <v>99.75</v>
      </c>
    </row>
    <row r="871" customFormat="false" ht="15" hidden="false" customHeight="false" outlineLevel="0" collapsed="false">
      <c r="A871" s="11" t="n">
        <v>870</v>
      </c>
      <c r="B871" s="15" t="n">
        <v>45943</v>
      </c>
      <c r="C871" s="11" t="n">
        <v>2</v>
      </c>
      <c r="D871" s="11" t="n">
        <v>5</v>
      </c>
      <c r="E871" s="11" t="n">
        <v>56</v>
      </c>
      <c r="F871" s="11" t="n">
        <v>7</v>
      </c>
      <c r="G871" s="11" t="n">
        <v>5</v>
      </c>
      <c r="H871" s="13" t="n">
        <v>50</v>
      </c>
      <c r="I871" s="16" t="n">
        <v>0</v>
      </c>
      <c r="J871" s="13" t="n">
        <f aca="false">G871*H871</f>
        <v>250</v>
      </c>
      <c r="K871" s="13" t="n">
        <f aca="false">J871*(1-I871)</f>
        <v>250</v>
      </c>
    </row>
    <row r="872" customFormat="false" ht="15" hidden="false" customHeight="false" outlineLevel="0" collapsed="false">
      <c r="A872" s="11" t="n">
        <v>871</v>
      </c>
      <c r="B872" s="15" t="n">
        <v>45943</v>
      </c>
      <c r="C872" s="11" t="n">
        <v>3</v>
      </c>
      <c r="D872" s="11" t="n">
        <v>7</v>
      </c>
      <c r="E872" s="11" t="n">
        <v>26</v>
      </c>
      <c r="F872" s="11" t="n">
        <v>13</v>
      </c>
      <c r="G872" s="11" t="n">
        <v>1</v>
      </c>
      <c r="H872" s="13" t="n">
        <v>32</v>
      </c>
      <c r="I872" s="16" t="n">
        <v>0</v>
      </c>
      <c r="J872" s="13" t="n">
        <f aca="false">G872*H872</f>
        <v>32</v>
      </c>
      <c r="K872" s="13" t="n">
        <f aca="false">J872*(1-I872)</f>
        <v>32</v>
      </c>
    </row>
    <row r="873" customFormat="false" ht="15" hidden="false" customHeight="false" outlineLevel="0" collapsed="false">
      <c r="A873" s="11" t="n">
        <v>872</v>
      </c>
      <c r="B873" s="15" t="n">
        <v>45943</v>
      </c>
      <c r="C873" s="11" t="n">
        <v>1</v>
      </c>
      <c r="D873" s="11" t="n">
        <v>3</v>
      </c>
      <c r="E873" s="11" t="n">
        <v>43</v>
      </c>
      <c r="F873" s="11" t="n">
        <v>17</v>
      </c>
      <c r="G873" s="11" t="n">
        <v>1</v>
      </c>
      <c r="H873" s="13" t="n">
        <v>28</v>
      </c>
      <c r="I873" s="16" t="n">
        <v>0</v>
      </c>
      <c r="J873" s="13" t="n">
        <f aca="false">G873*H873</f>
        <v>28</v>
      </c>
      <c r="K873" s="13" t="n">
        <f aca="false">J873*(1-I873)</f>
        <v>28</v>
      </c>
    </row>
    <row r="874" customFormat="false" ht="15" hidden="false" customHeight="false" outlineLevel="0" collapsed="false">
      <c r="A874" s="11" t="n">
        <v>873</v>
      </c>
      <c r="B874" s="15" t="n">
        <v>45943</v>
      </c>
      <c r="C874" s="11" t="n">
        <v>4</v>
      </c>
      <c r="D874" s="11" t="n">
        <v>9</v>
      </c>
      <c r="E874" s="11" t="n">
        <v>52</v>
      </c>
      <c r="F874" s="11" t="n">
        <v>8</v>
      </c>
      <c r="G874" s="11" t="n">
        <v>1</v>
      </c>
      <c r="H874" s="13" t="n">
        <v>52</v>
      </c>
      <c r="I874" s="16" t="n">
        <v>0</v>
      </c>
      <c r="J874" s="13" t="n">
        <f aca="false">G874*H874</f>
        <v>52</v>
      </c>
      <c r="K874" s="13" t="n">
        <f aca="false">J874*(1-I874)</f>
        <v>52</v>
      </c>
    </row>
    <row r="875" customFormat="false" ht="15" hidden="false" customHeight="false" outlineLevel="0" collapsed="false">
      <c r="A875" s="11" t="n">
        <v>874</v>
      </c>
      <c r="B875" s="15" t="n">
        <v>45944</v>
      </c>
      <c r="C875" s="11" t="n">
        <v>3</v>
      </c>
      <c r="D875" s="11" t="n">
        <v>6</v>
      </c>
      <c r="E875" s="11" t="n">
        <v>25</v>
      </c>
      <c r="F875" s="11" t="n">
        <v>19</v>
      </c>
      <c r="G875" s="11" t="n">
        <v>1</v>
      </c>
      <c r="H875" s="13" t="n">
        <v>125</v>
      </c>
      <c r="I875" s="16" t="n">
        <v>0</v>
      </c>
      <c r="J875" s="13" t="n">
        <f aca="false">G875*H875</f>
        <v>125</v>
      </c>
      <c r="K875" s="13" t="n">
        <f aca="false">J875*(1-I875)</f>
        <v>125</v>
      </c>
    </row>
    <row r="876" customFormat="false" ht="15" hidden="false" customHeight="false" outlineLevel="0" collapsed="false">
      <c r="A876" s="11" t="n">
        <v>875</v>
      </c>
      <c r="B876" s="15" t="n">
        <v>45944</v>
      </c>
      <c r="C876" s="11" t="n">
        <v>5</v>
      </c>
      <c r="D876" s="11" t="n">
        <v>10</v>
      </c>
      <c r="E876" s="11" t="n">
        <v>39</v>
      </c>
      <c r="F876" s="11" t="n">
        <v>14</v>
      </c>
      <c r="G876" s="11" t="n">
        <v>1</v>
      </c>
      <c r="H876" s="13" t="n">
        <v>38</v>
      </c>
      <c r="I876" s="16" t="n">
        <v>0</v>
      </c>
      <c r="J876" s="13" t="n">
        <f aca="false">G876*H876</f>
        <v>38</v>
      </c>
      <c r="K876" s="13" t="n">
        <f aca="false">J876*(1-I876)</f>
        <v>38</v>
      </c>
    </row>
    <row r="877" customFormat="false" ht="15" hidden="false" customHeight="false" outlineLevel="0" collapsed="false">
      <c r="A877" s="11" t="n">
        <v>876</v>
      </c>
      <c r="B877" s="15" t="n">
        <v>45944</v>
      </c>
      <c r="C877" s="11" t="n">
        <v>3</v>
      </c>
      <c r="D877" s="11" t="n">
        <v>6</v>
      </c>
      <c r="E877" s="11" t="n">
        <v>48</v>
      </c>
      <c r="F877" s="11" t="n">
        <v>5</v>
      </c>
      <c r="G877" s="11" t="n">
        <v>1</v>
      </c>
      <c r="H877" s="13" t="n">
        <v>58</v>
      </c>
      <c r="I877" s="16" t="n">
        <v>0</v>
      </c>
      <c r="J877" s="13" t="n">
        <f aca="false">G877*H877</f>
        <v>58</v>
      </c>
      <c r="K877" s="13" t="n">
        <f aca="false">J877*(1-I877)</f>
        <v>58</v>
      </c>
    </row>
    <row r="878" customFormat="false" ht="15" hidden="false" customHeight="false" outlineLevel="0" collapsed="false">
      <c r="A878" s="11" t="n">
        <v>877</v>
      </c>
      <c r="B878" s="15" t="n">
        <v>45944</v>
      </c>
      <c r="C878" s="11" t="n">
        <v>4</v>
      </c>
      <c r="D878" s="11" t="n">
        <v>9</v>
      </c>
      <c r="E878" s="11" t="n">
        <v>56</v>
      </c>
      <c r="F878" s="11" t="n">
        <v>3</v>
      </c>
      <c r="G878" s="11" t="n">
        <v>3</v>
      </c>
      <c r="H878" s="13" t="n">
        <v>38</v>
      </c>
      <c r="I878" s="16" t="n">
        <v>0.1</v>
      </c>
      <c r="J878" s="13" t="n">
        <f aca="false">G878*H878</f>
        <v>114</v>
      </c>
      <c r="K878" s="13" t="n">
        <f aca="false">J878*(1-I878)</f>
        <v>102.6</v>
      </c>
    </row>
    <row r="879" customFormat="false" ht="15" hidden="false" customHeight="false" outlineLevel="0" collapsed="false">
      <c r="A879" s="11" t="n">
        <v>878</v>
      </c>
      <c r="B879" s="15" t="n">
        <v>45945</v>
      </c>
      <c r="C879" s="11" t="n">
        <v>1</v>
      </c>
      <c r="D879" s="11" t="n">
        <v>1</v>
      </c>
      <c r="E879" s="11" t="n">
        <v>60</v>
      </c>
      <c r="F879" s="11" t="n">
        <v>9</v>
      </c>
      <c r="G879" s="11" t="n">
        <v>2</v>
      </c>
      <c r="H879" s="13" t="n">
        <v>40</v>
      </c>
      <c r="I879" s="16" t="n">
        <v>0</v>
      </c>
      <c r="J879" s="13" t="n">
        <f aca="false">G879*H879</f>
        <v>80</v>
      </c>
      <c r="K879" s="13" t="n">
        <f aca="false">J879*(1-I879)</f>
        <v>80</v>
      </c>
    </row>
    <row r="880" customFormat="false" ht="15" hidden="false" customHeight="false" outlineLevel="0" collapsed="false">
      <c r="A880" s="11" t="n">
        <v>879</v>
      </c>
      <c r="B880" s="15" t="n">
        <v>45945</v>
      </c>
      <c r="C880" s="11" t="n">
        <v>3</v>
      </c>
      <c r="D880" s="11" t="n">
        <v>7</v>
      </c>
      <c r="E880" s="11" t="n">
        <v>15</v>
      </c>
      <c r="F880" s="11" t="n">
        <v>18</v>
      </c>
      <c r="G880" s="11" t="n">
        <v>1</v>
      </c>
      <c r="H880" s="13" t="n">
        <v>95</v>
      </c>
      <c r="I880" s="16" t="n">
        <v>0.1</v>
      </c>
      <c r="J880" s="13" t="n">
        <f aca="false">G880*H880</f>
        <v>95</v>
      </c>
      <c r="K880" s="13" t="n">
        <f aca="false">J880*(1-I880)</f>
        <v>85.5</v>
      </c>
    </row>
    <row r="881" customFormat="false" ht="15" hidden="false" customHeight="false" outlineLevel="0" collapsed="false">
      <c r="A881" s="11" t="n">
        <v>880</v>
      </c>
      <c r="B881" s="15" t="n">
        <v>45945</v>
      </c>
      <c r="C881" s="11" t="n">
        <v>1</v>
      </c>
      <c r="D881" s="11" t="n">
        <v>1</v>
      </c>
      <c r="E881" s="11" t="n">
        <v>3</v>
      </c>
      <c r="F881" s="11" t="n">
        <v>7</v>
      </c>
      <c r="G881" s="11" t="n">
        <v>3</v>
      </c>
      <c r="H881" s="13" t="n">
        <v>50</v>
      </c>
      <c r="I881" s="16" t="n">
        <v>0</v>
      </c>
      <c r="J881" s="13" t="n">
        <f aca="false">G881*H881</f>
        <v>150</v>
      </c>
      <c r="K881" s="13" t="n">
        <f aca="false">J881*(1-I881)</f>
        <v>150</v>
      </c>
    </row>
    <row r="882" customFormat="false" ht="15" hidden="false" customHeight="false" outlineLevel="0" collapsed="false">
      <c r="A882" s="11" t="n">
        <v>881</v>
      </c>
      <c r="B882" s="15" t="n">
        <v>45945</v>
      </c>
      <c r="C882" s="11" t="n">
        <v>2</v>
      </c>
      <c r="D882" s="11" t="n">
        <v>4</v>
      </c>
      <c r="E882" s="11" t="n">
        <v>8</v>
      </c>
      <c r="F882" s="11" t="n">
        <v>5</v>
      </c>
      <c r="G882" s="11" t="n">
        <v>4</v>
      </c>
      <c r="H882" s="13" t="n">
        <v>58</v>
      </c>
      <c r="I882" s="16" t="n">
        <v>0</v>
      </c>
      <c r="J882" s="13" t="n">
        <f aca="false">G882*H882</f>
        <v>232</v>
      </c>
      <c r="K882" s="13" t="n">
        <f aca="false">J882*(1-I882)</f>
        <v>232</v>
      </c>
    </row>
    <row r="883" customFormat="false" ht="15" hidden="false" customHeight="false" outlineLevel="0" collapsed="false">
      <c r="A883" s="11" t="n">
        <v>882</v>
      </c>
      <c r="B883" s="15" t="n">
        <v>45945</v>
      </c>
      <c r="C883" s="11" t="n">
        <v>3</v>
      </c>
      <c r="D883" s="11" t="n">
        <v>6</v>
      </c>
      <c r="E883" s="11" t="n">
        <v>16</v>
      </c>
      <c r="F883" s="11" t="n">
        <v>16</v>
      </c>
      <c r="G883" s="11" t="n">
        <v>2</v>
      </c>
      <c r="H883" s="13" t="n">
        <v>45</v>
      </c>
      <c r="I883" s="16" t="n">
        <v>0</v>
      </c>
      <c r="J883" s="13" t="n">
        <f aca="false">G883*H883</f>
        <v>90</v>
      </c>
      <c r="K883" s="13" t="n">
        <f aca="false">J883*(1-I883)</f>
        <v>90</v>
      </c>
    </row>
    <row r="884" customFormat="false" ht="15" hidden="false" customHeight="false" outlineLevel="0" collapsed="false">
      <c r="A884" s="11" t="n">
        <v>883</v>
      </c>
      <c r="B884" s="15" t="n">
        <v>45945</v>
      </c>
      <c r="C884" s="11" t="n">
        <v>4</v>
      </c>
      <c r="D884" s="11" t="n">
        <v>8</v>
      </c>
      <c r="E884" s="11" t="n">
        <v>42</v>
      </c>
      <c r="F884" s="11" t="n">
        <v>6</v>
      </c>
      <c r="G884" s="11" t="n">
        <v>2</v>
      </c>
      <c r="H884" s="13" t="n">
        <v>62</v>
      </c>
      <c r="I884" s="16" t="n">
        <v>0</v>
      </c>
      <c r="J884" s="13" t="n">
        <f aca="false">G884*H884</f>
        <v>124</v>
      </c>
      <c r="K884" s="13" t="n">
        <f aca="false">J884*(1-I884)</f>
        <v>124</v>
      </c>
    </row>
    <row r="885" customFormat="false" ht="15" hidden="false" customHeight="false" outlineLevel="0" collapsed="false">
      <c r="A885" s="11" t="n">
        <v>884</v>
      </c>
      <c r="B885" s="15" t="n">
        <v>45946</v>
      </c>
      <c r="C885" s="11" t="n">
        <v>4</v>
      </c>
      <c r="D885" s="11" t="n">
        <v>8</v>
      </c>
      <c r="E885" s="11" t="n">
        <v>9</v>
      </c>
      <c r="F885" s="11" t="n">
        <v>20</v>
      </c>
      <c r="G885" s="11" t="n">
        <v>1</v>
      </c>
      <c r="H885" s="13" t="n">
        <v>88</v>
      </c>
      <c r="I885" s="16" t="n">
        <v>0</v>
      </c>
      <c r="J885" s="13" t="n">
        <f aca="false">G885*H885</f>
        <v>88</v>
      </c>
      <c r="K885" s="13" t="n">
        <f aca="false">J885*(1-I885)</f>
        <v>88</v>
      </c>
    </row>
    <row r="886" customFormat="false" ht="15" hidden="false" customHeight="false" outlineLevel="0" collapsed="false">
      <c r="A886" s="11" t="n">
        <v>885</v>
      </c>
      <c r="B886" s="15" t="n">
        <v>45946</v>
      </c>
      <c r="C886" s="11" t="n">
        <v>4</v>
      </c>
      <c r="D886" s="11" t="n">
        <v>8</v>
      </c>
      <c r="E886" s="11" t="n">
        <v>36</v>
      </c>
      <c r="F886" s="11" t="n">
        <v>15</v>
      </c>
      <c r="G886" s="11" t="n">
        <v>1</v>
      </c>
      <c r="H886" s="13" t="n">
        <v>65</v>
      </c>
      <c r="I886" s="16" t="n">
        <v>0</v>
      </c>
      <c r="J886" s="13" t="n">
        <f aca="false">G886*H886</f>
        <v>65</v>
      </c>
      <c r="K886" s="13" t="n">
        <f aca="false">J886*(1-I886)</f>
        <v>65</v>
      </c>
    </row>
    <row r="887" customFormat="false" ht="15" hidden="false" customHeight="false" outlineLevel="0" collapsed="false">
      <c r="A887" s="11" t="n">
        <v>886</v>
      </c>
      <c r="B887" s="15" t="n">
        <v>45947</v>
      </c>
      <c r="C887" s="11" t="n">
        <v>1</v>
      </c>
      <c r="D887" s="11" t="n">
        <v>2</v>
      </c>
      <c r="E887" s="11" t="n">
        <v>57</v>
      </c>
      <c r="F887" s="11" t="n">
        <v>20</v>
      </c>
      <c r="G887" s="11" t="n">
        <v>1</v>
      </c>
      <c r="H887" s="13" t="n">
        <v>88</v>
      </c>
      <c r="I887" s="16" t="n">
        <v>0</v>
      </c>
      <c r="J887" s="13" t="n">
        <f aca="false">G887*H887</f>
        <v>88</v>
      </c>
      <c r="K887" s="13" t="n">
        <f aca="false">J887*(1-I887)</f>
        <v>88</v>
      </c>
    </row>
    <row r="888" customFormat="false" ht="15" hidden="false" customHeight="false" outlineLevel="0" collapsed="false">
      <c r="A888" s="11" t="n">
        <v>887</v>
      </c>
      <c r="B888" s="15" t="n">
        <v>45947</v>
      </c>
      <c r="C888" s="11" t="n">
        <v>1</v>
      </c>
      <c r="D888" s="11" t="n">
        <v>1</v>
      </c>
      <c r="E888" s="11" t="n">
        <v>34</v>
      </c>
      <c r="F888" s="11" t="n">
        <v>3</v>
      </c>
      <c r="G888" s="11" t="n">
        <v>2</v>
      </c>
      <c r="H888" s="13" t="n">
        <v>38</v>
      </c>
      <c r="I888" s="16" t="n">
        <v>0</v>
      </c>
      <c r="J888" s="13" t="n">
        <f aca="false">G888*H888</f>
        <v>76</v>
      </c>
      <c r="K888" s="13" t="n">
        <f aca="false">J888*(1-I888)</f>
        <v>76</v>
      </c>
    </row>
    <row r="889" customFormat="false" ht="15" hidden="false" customHeight="false" outlineLevel="0" collapsed="false">
      <c r="A889" s="11" t="n">
        <v>888</v>
      </c>
      <c r="B889" s="15" t="n">
        <v>45947</v>
      </c>
      <c r="C889" s="11" t="n">
        <v>1</v>
      </c>
      <c r="D889" s="11" t="n">
        <v>1</v>
      </c>
      <c r="E889" s="11" t="n">
        <v>19</v>
      </c>
      <c r="F889" s="11" t="n">
        <v>6</v>
      </c>
      <c r="G889" s="11" t="n">
        <v>3</v>
      </c>
      <c r="H889" s="13" t="n">
        <v>62</v>
      </c>
      <c r="I889" s="16" t="n">
        <v>0</v>
      </c>
      <c r="J889" s="13" t="n">
        <f aca="false">G889*H889</f>
        <v>186</v>
      </c>
      <c r="K889" s="13" t="n">
        <f aca="false">J889*(1-I889)</f>
        <v>186</v>
      </c>
    </row>
    <row r="890" customFormat="false" ht="15" hidden="false" customHeight="false" outlineLevel="0" collapsed="false">
      <c r="A890" s="11" t="n">
        <v>889</v>
      </c>
      <c r="B890" s="15" t="n">
        <v>45947</v>
      </c>
      <c r="C890" s="11" t="n">
        <v>4</v>
      </c>
      <c r="D890" s="11" t="n">
        <v>9</v>
      </c>
      <c r="E890" s="11" t="n">
        <v>27</v>
      </c>
      <c r="F890" s="11" t="n">
        <v>15</v>
      </c>
      <c r="G890" s="11" t="n">
        <v>1</v>
      </c>
      <c r="H890" s="13" t="n">
        <v>65</v>
      </c>
      <c r="I890" s="16" t="n">
        <v>0</v>
      </c>
      <c r="J890" s="13" t="n">
        <f aca="false">G890*H890</f>
        <v>65</v>
      </c>
      <c r="K890" s="13" t="n">
        <f aca="false">J890*(1-I890)</f>
        <v>65</v>
      </c>
    </row>
    <row r="891" customFormat="false" ht="15" hidden="false" customHeight="false" outlineLevel="0" collapsed="false">
      <c r="A891" s="11" t="n">
        <v>890</v>
      </c>
      <c r="B891" s="15" t="n">
        <v>45948</v>
      </c>
      <c r="C891" s="11" t="n">
        <v>4</v>
      </c>
      <c r="D891" s="11" t="n">
        <v>8</v>
      </c>
      <c r="E891" s="11" t="n">
        <v>10</v>
      </c>
      <c r="F891" s="11" t="n">
        <v>1</v>
      </c>
      <c r="G891" s="11" t="n">
        <v>4</v>
      </c>
      <c r="H891" s="13" t="n">
        <v>35</v>
      </c>
      <c r="I891" s="16" t="n">
        <v>0</v>
      </c>
      <c r="J891" s="13" t="n">
        <f aca="false">G891*H891</f>
        <v>140</v>
      </c>
      <c r="K891" s="13" t="n">
        <f aca="false">J891*(1-I891)</f>
        <v>140</v>
      </c>
    </row>
    <row r="892" customFormat="false" ht="15" hidden="false" customHeight="false" outlineLevel="0" collapsed="false">
      <c r="A892" s="11" t="n">
        <v>891</v>
      </c>
      <c r="B892" s="15" t="n">
        <v>45948</v>
      </c>
      <c r="C892" s="11" t="n">
        <v>5</v>
      </c>
      <c r="D892" s="11" t="n">
        <v>10</v>
      </c>
      <c r="E892" s="11" t="n">
        <v>22</v>
      </c>
      <c r="F892" s="11" t="n">
        <v>20</v>
      </c>
      <c r="G892" s="11" t="n">
        <v>5</v>
      </c>
      <c r="H892" s="13" t="n">
        <v>88</v>
      </c>
      <c r="I892" s="16" t="n">
        <v>0.05</v>
      </c>
      <c r="J892" s="13" t="n">
        <f aca="false">G892*H892</f>
        <v>440</v>
      </c>
      <c r="K892" s="13" t="n">
        <f aca="false">J892*(1-I892)</f>
        <v>418</v>
      </c>
    </row>
    <row r="893" customFormat="false" ht="15" hidden="false" customHeight="false" outlineLevel="0" collapsed="false">
      <c r="A893" s="11" t="n">
        <v>892</v>
      </c>
      <c r="B893" s="15" t="n">
        <v>45948</v>
      </c>
      <c r="C893" s="11" t="n">
        <v>2</v>
      </c>
      <c r="D893" s="11" t="n">
        <v>4</v>
      </c>
      <c r="E893" s="11" t="n">
        <v>21</v>
      </c>
      <c r="F893" s="11" t="n">
        <v>19</v>
      </c>
      <c r="G893" s="11" t="n">
        <v>3</v>
      </c>
      <c r="H893" s="13" t="n">
        <v>125</v>
      </c>
      <c r="I893" s="16" t="n">
        <v>0</v>
      </c>
      <c r="J893" s="13" t="n">
        <f aca="false">G893*H893</f>
        <v>375</v>
      </c>
      <c r="K893" s="13" t="n">
        <f aca="false">J893*(1-I893)</f>
        <v>375</v>
      </c>
    </row>
    <row r="894" customFormat="false" ht="15" hidden="false" customHeight="false" outlineLevel="0" collapsed="false">
      <c r="A894" s="11" t="n">
        <v>893</v>
      </c>
      <c r="B894" s="15" t="n">
        <v>45949</v>
      </c>
      <c r="C894" s="11" t="n">
        <v>3</v>
      </c>
      <c r="D894" s="11" t="n">
        <v>7</v>
      </c>
      <c r="E894" s="11" t="n">
        <v>30</v>
      </c>
      <c r="F894" s="11" t="n">
        <v>17</v>
      </c>
      <c r="G894" s="11" t="n">
        <v>1</v>
      </c>
      <c r="H894" s="13" t="n">
        <v>28</v>
      </c>
      <c r="I894" s="16" t="n">
        <v>0</v>
      </c>
      <c r="J894" s="13" t="n">
        <f aca="false">G894*H894</f>
        <v>28</v>
      </c>
      <c r="K894" s="13" t="n">
        <f aca="false">J894*(1-I894)</f>
        <v>28</v>
      </c>
    </row>
    <row r="895" customFormat="false" ht="15" hidden="false" customHeight="false" outlineLevel="0" collapsed="false">
      <c r="A895" s="11" t="n">
        <v>894</v>
      </c>
      <c r="B895" s="15" t="n">
        <v>45950</v>
      </c>
      <c r="C895" s="11" t="n">
        <v>5</v>
      </c>
      <c r="D895" s="11" t="n">
        <v>10</v>
      </c>
      <c r="E895" s="11" t="n">
        <v>43</v>
      </c>
      <c r="F895" s="11" t="n">
        <v>18</v>
      </c>
      <c r="G895" s="11" t="n">
        <v>1</v>
      </c>
      <c r="H895" s="13" t="n">
        <v>95</v>
      </c>
      <c r="I895" s="16" t="n">
        <v>0</v>
      </c>
      <c r="J895" s="13" t="n">
        <f aca="false">G895*H895</f>
        <v>95</v>
      </c>
      <c r="K895" s="13" t="n">
        <f aca="false">J895*(1-I895)</f>
        <v>95</v>
      </c>
    </row>
    <row r="896" customFormat="false" ht="15" hidden="false" customHeight="false" outlineLevel="0" collapsed="false">
      <c r="A896" s="11" t="n">
        <v>895</v>
      </c>
      <c r="B896" s="15" t="n">
        <v>45950</v>
      </c>
      <c r="C896" s="11" t="n">
        <v>3</v>
      </c>
      <c r="D896" s="11" t="n">
        <v>6</v>
      </c>
      <c r="E896" s="11" t="n">
        <v>50</v>
      </c>
      <c r="F896" s="11" t="n">
        <v>17</v>
      </c>
      <c r="G896" s="11" t="n">
        <v>1</v>
      </c>
      <c r="H896" s="13" t="n">
        <v>28</v>
      </c>
      <c r="I896" s="16" t="n">
        <v>0.1</v>
      </c>
      <c r="J896" s="13" t="n">
        <f aca="false">G896*H896</f>
        <v>28</v>
      </c>
      <c r="K896" s="13" t="n">
        <f aca="false">J896*(1-I896)</f>
        <v>25.2</v>
      </c>
    </row>
    <row r="897" customFormat="false" ht="15" hidden="false" customHeight="false" outlineLevel="0" collapsed="false">
      <c r="A897" s="11" t="n">
        <v>896</v>
      </c>
      <c r="B897" s="15" t="n">
        <v>45950</v>
      </c>
      <c r="C897" s="11" t="n">
        <v>3</v>
      </c>
      <c r="D897" s="11" t="n">
        <v>6</v>
      </c>
      <c r="E897" s="11" t="n">
        <v>29</v>
      </c>
      <c r="F897" s="11" t="n">
        <v>7</v>
      </c>
      <c r="G897" s="11" t="n">
        <v>3</v>
      </c>
      <c r="H897" s="13" t="n">
        <v>50</v>
      </c>
      <c r="I897" s="16" t="n">
        <v>0</v>
      </c>
      <c r="J897" s="13" t="n">
        <f aca="false">G897*H897</f>
        <v>150</v>
      </c>
      <c r="K897" s="13" t="n">
        <f aca="false">J897*(1-I897)</f>
        <v>150</v>
      </c>
    </row>
    <row r="898" customFormat="false" ht="15" hidden="false" customHeight="false" outlineLevel="0" collapsed="false">
      <c r="A898" s="11" t="n">
        <v>897</v>
      </c>
      <c r="B898" s="15" t="n">
        <v>45950</v>
      </c>
      <c r="C898" s="11" t="n">
        <v>3</v>
      </c>
      <c r="D898" s="11" t="n">
        <v>6</v>
      </c>
      <c r="E898" s="11" t="n">
        <v>39</v>
      </c>
      <c r="F898" s="11" t="n">
        <v>8</v>
      </c>
      <c r="G898" s="11" t="n">
        <v>1</v>
      </c>
      <c r="H898" s="13" t="n">
        <v>52</v>
      </c>
      <c r="I898" s="16" t="n">
        <v>0</v>
      </c>
      <c r="J898" s="13" t="n">
        <f aca="false">G898*H898</f>
        <v>52</v>
      </c>
      <c r="K898" s="13" t="n">
        <f aca="false">J898*(1-I898)</f>
        <v>52</v>
      </c>
    </row>
    <row r="899" customFormat="false" ht="15" hidden="false" customHeight="false" outlineLevel="0" collapsed="false">
      <c r="A899" s="11" t="n">
        <v>898</v>
      </c>
      <c r="B899" s="15" t="n">
        <v>45950</v>
      </c>
      <c r="C899" s="11" t="n">
        <v>3</v>
      </c>
      <c r="D899" s="11" t="n">
        <v>6</v>
      </c>
      <c r="E899" s="11" t="n">
        <v>26</v>
      </c>
      <c r="F899" s="11" t="n">
        <v>4</v>
      </c>
      <c r="G899" s="11" t="n">
        <v>1</v>
      </c>
      <c r="H899" s="13" t="n">
        <v>55</v>
      </c>
      <c r="I899" s="16" t="n">
        <v>0</v>
      </c>
      <c r="J899" s="13" t="n">
        <f aca="false">G899*H899</f>
        <v>55</v>
      </c>
      <c r="K899" s="13" t="n">
        <f aca="false">J899*(1-I899)</f>
        <v>55</v>
      </c>
    </row>
    <row r="900" customFormat="false" ht="15" hidden="false" customHeight="false" outlineLevel="0" collapsed="false">
      <c r="A900" s="11" t="n">
        <v>899</v>
      </c>
      <c r="B900" s="15" t="n">
        <v>45950</v>
      </c>
      <c r="C900" s="11" t="n">
        <v>5</v>
      </c>
      <c r="D900" s="11" t="n">
        <v>10</v>
      </c>
      <c r="E900" s="11" t="n">
        <v>23</v>
      </c>
      <c r="F900" s="11" t="n">
        <v>14</v>
      </c>
      <c r="G900" s="11" t="n">
        <v>1</v>
      </c>
      <c r="H900" s="13" t="n">
        <v>38</v>
      </c>
      <c r="I900" s="16" t="n">
        <v>0</v>
      </c>
      <c r="J900" s="13" t="n">
        <f aca="false">G900*H900</f>
        <v>38</v>
      </c>
      <c r="K900" s="13" t="n">
        <f aca="false">J900*(1-I900)</f>
        <v>38</v>
      </c>
    </row>
    <row r="901" customFormat="false" ht="15" hidden="false" customHeight="false" outlineLevel="0" collapsed="false">
      <c r="A901" s="11" t="n">
        <v>900</v>
      </c>
      <c r="B901" s="15" t="n">
        <v>45950</v>
      </c>
      <c r="C901" s="11" t="n">
        <v>1</v>
      </c>
      <c r="D901" s="11" t="n">
        <v>1</v>
      </c>
      <c r="E901" s="11" t="n">
        <v>53</v>
      </c>
      <c r="F901" s="11" t="n">
        <v>13</v>
      </c>
      <c r="G901" s="11" t="n">
        <v>1</v>
      </c>
      <c r="H901" s="13" t="n">
        <v>32</v>
      </c>
      <c r="I901" s="16" t="n">
        <v>0</v>
      </c>
      <c r="J901" s="13" t="n">
        <f aca="false">G901*H901</f>
        <v>32</v>
      </c>
      <c r="K901" s="13" t="n">
        <f aca="false">J901*(1-I901)</f>
        <v>32</v>
      </c>
    </row>
    <row r="902" customFormat="false" ht="15" hidden="false" customHeight="false" outlineLevel="0" collapsed="false">
      <c r="A902" s="11" t="n">
        <v>901</v>
      </c>
      <c r="B902" s="15" t="n">
        <v>45951</v>
      </c>
      <c r="C902" s="11" t="n">
        <v>1</v>
      </c>
      <c r="D902" s="11" t="n">
        <v>2</v>
      </c>
      <c r="E902" s="11" t="n">
        <v>21</v>
      </c>
      <c r="F902" s="11" t="n">
        <v>12</v>
      </c>
      <c r="G902" s="11" t="n">
        <v>1</v>
      </c>
      <c r="H902" s="13" t="n">
        <v>45</v>
      </c>
      <c r="I902" s="16" t="n">
        <v>0</v>
      </c>
      <c r="J902" s="13" t="n">
        <f aca="false">G902*H902</f>
        <v>45</v>
      </c>
      <c r="K902" s="13" t="n">
        <f aca="false">J902*(1-I902)</f>
        <v>45</v>
      </c>
    </row>
    <row r="903" customFormat="false" ht="15" hidden="false" customHeight="false" outlineLevel="0" collapsed="false">
      <c r="A903" s="11" t="n">
        <v>902</v>
      </c>
      <c r="B903" s="15" t="n">
        <v>45951</v>
      </c>
      <c r="C903" s="11" t="n">
        <v>3</v>
      </c>
      <c r="D903" s="11" t="n">
        <v>7</v>
      </c>
      <c r="E903" s="11" t="n">
        <v>32</v>
      </c>
      <c r="F903" s="11" t="n">
        <v>19</v>
      </c>
      <c r="G903" s="11" t="n">
        <v>2</v>
      </c>
      <c r="H903" s="13" t="n">
        <v>125</v>
      </c>
      <c r="I903" s="16" t="n">
        <v>0</v>
      </c>
      <c r="J903" s="13" t="n">
        <f aca="false">G903*H903</f>
        <v>250</v>
      </c>
      <c r="K903" s="13" t="n">
        <f aca="false">J903*(1-I903)</f>
        <v>250</v>
      </c>
    </row>
    <row r="904" customFormat="false" ht="15" hidden="false" customHeight="false" outlineLevel="0" collapsed="false">
      <c r="A904" s="11" t="n">
        <v>903</v>
      </c>
      <c r="B904" s="15" t="n">
        <v>45951</v>
      </c>
      <c r="C904" s="11" t="n">
        <v>1</v>
      </c>
      <c r="D904" s="11" t="n">
        <v>1</v>
      </c>
      <c r="E904" s="11" t="n">
        <v>58</v>
      </c>
      <c r="F904" s="11" t="n">
        <v>1</v>
      </c>
      <c r="G904" s="11" t="n">
        <v>3</v>
      </c>
      <c r="H904" s="13" t="n">
        <v>35</v>
      </c>
      <c r="I904" s="16" t="n">
        <v>0</v>
      </c>
      <c r="J904" s="13" t="n">
        <f aca="false">G904*H904</f>
        <v>105</v>
      </c>
      <c r="K904" s="13" t="n">
        <f aca="false">J904*(1-I904)</f>
        <v>105</v>
      </c>
    </row>
    <row r="905" customFormat="false" ht="15" hidden="false" customHeight="false" outlineLevel="0" collapsed="false">
      <c r="A905" s="11" t="n">
        <v>904</v>
      </c>
      <c r="B905" s="15" t="n">
        <v>45951</v>
      </c>
      <c r="C905" s="11" t="n">
        <v>2</v>
      </c>
      <c r="D905" s="11" t="n">
        <v>5</v>
      </c>
      <c r="E905" s="11" t="n">
        <v>15</v>
      </c>
      <c r="F905" s="11" t="n">
        <v>9</v>
      </c>
      <c r="G905" s="11" t="n">
        <v>1</v>
      </c>
      <c r="H905" s="13" t="n">
        <v>40</v>
      </c>
      <c r="I905" s="16" t="n">
        <v>0</v>
      </c>
      <c r="J905" s="13" t="n">
        <f aca="false">G905*H905</f>
        <v>40</v>
      </c>
      <c r="K905" s="13" t="n">
        <f aca="false">J905*(1-I905)</f>
        <v>40</v>
      </c>
    </row>
    <row r="906" customFormat="false" ht="15" hidden="false" customHeight="false" outlineLevel="0" collapsed="false">
      <c r="A906" s="11" t="n">
        <v>905</v>
      </c>
      <c r="B906" s="15" t="n">
        <v>45951</v>
      </c>
      <c r="C906" s="11" t="n">
        <v>1</v>
      </c>
      <c r="D906" s="11" t="n">
        <v>3</v>
      </c>
      <c r="E906" s="11" t="n">
        <v>3</v>
      </c>
      <c r="F906" s="11" t="n">
        <v>13</v>
      </c>
      <c r="G906" s="11" t="n">
        <v>2</v>
      </c>
      <c r="H906" s="13" t="n">
        <v>32</v>
      </c>
      <c r="I906" s="16" t="n">
        <v>0</v>
      </c>
      <c r="J906" s="13" t="n">
        <f aca="false">G906*H906</f>
        <v>64</v>
      </c>
      <c r="K906" s="13" t="n">
        <f aca="false">J906*(1-I906)</f>
        <v>64</v>
      </c>
    </row>
    <row r="907" customFormat="false" ht="15" hidden="false" customHeight="false" outlineLevel="0" collapsed="false">
      <c r="A907" s="11" t="n">
        <v>906</v>
      </c>
      <c r="B907" s="15" t="n">
        <v>45952</v>
      </c>
      <c r="C907" s="11" t="n">
        <v>4</v>
      </c>
      <c r="D907" s="11" t="n">
        <v>8</v>
      </c>
      <c r="E907" s="11" t="n">
        <v>34</v>
      </c>
      <c r="F907" s="11" t="n">
        <v>15</v>
      </c>
      <c r="G907" s="11" t="n">
        <v>1</v>
      </c>
      <c r="H907" s="13" t="n">
        <v>65</v>
      </c>
      <c r="I907" s="16" t="n">
        <v>0</v>
      </c>
      <c r="J907" s="13" t="n">
        <f aca="false">G907*H907</f>
        <v>65</v>
      </c>
      <c r="K907" s="13" t="n">
        <f aca="false">J907*(1-I907)</f>
        <v>65</v>
      </c>
    </row>
    <row r="908" customFormat="false" ht="15" hidden="false" customHeight="false" outlineLevel="0" collapsed="false">
      <c r="A908" s="11" t="n">
        <v>907</v>
      </c>
      <c r="B908" s="15" t="n">
        <v>45952</v>
      </c>
      <c r="C908" s="11" t="n">
        <v>1</v>
      </c>
      <c r="D908" s="11" t="n">
        <v>3</v>
      </c>
      <c r="E908" s="11" t="n">
        <v>58</v>
      </c>
      <c r="F908" s="11" t="n">
        <v>17</v>
      </c>
      <c r="G908" s="11" t="n">
        <v>1</v>
      </c>
      <c r="H908" s="13" t="n">
        <v>28</v>
      </c>
      <c r="I908" s="16" t="n">
        <v>0</v>
      </c>
      <c r="J908" s="13" t="n">
        <f aca="false">G908*H908</f>
        <v>28</v>
      </c>
      <c r="K908" s="13" t="n">
        <f aca="false">J908*(1-I908)</f>
        <v>28</v>
      </c>
    </row>
    <row r="909" customFormat="false" ht="15" hidden="false" customHeight="false" outlineLevel="0" collapsed="false">
      <c r="A909" s="11" t="n">
        <v>908</v>
      </c>
      <c r="B909" s="15" t="n">
        <v>45952</v>
      </c>
      <c r="C909" s="11" t="n">
        <v>2</v>
      </c>
      <c r="D909" s="11" t="n">
        <v>4</v>
      </c>
      <c r="E909" s="11" t="n">
        <v>17</v>
      </c>
      <c r="F909" s="11" t="n">
        <v>8</v>
      </c>
      <c r="G909" s="11" t="n">
        <v>1</v>
      </c>
      <c r="H909" s="13" t="n">
        <v>52</v>
      </c>
      <c r="I909" s="16" t="n">
        <v>0</v>
      </c>
      <c r="J909" s="13" t="n">
        <f aca="false">G909*H909</f>
        <v>52</v>
      </c>
      <c r="K909" s="13" t="n">
        <f aca="false">J909*(1-I909)</f>
        <v>52</v>
      </c>
    </row>
    <row r="910" customFormat="false" ht="15" hidden="false" customHeight="false" outlineLevel="0" collapsed="false">
      <c r="A910" s="11" t="n">
        <v>909</v>
      </c>
      <c r="B910" s="15" t="n">
        <v>45952</v>
      </c>
      <c r="C910" s="11" t="n">
        <v>5</v>
      </c>
      <c r="D910" s="11" t="n">
        <v>10</v>
      </c>
      <c r="E910" s="11" t="n">
        <v>15</v>
      </c>
      <c r="F910" s="11" t="n">
        <v>18</v>
      </c>
      <c r="G910" s="11" t="n">
        <v>1</v>
      </c>
      <c r="H910" s="13" t="n">
        <v>95</v>
      </c>
      <c r="I910" s="16" t="n">
        <v>0.15</v>
      </c>
      <c r="J910" s="13" t="n">
        <f aca="false">G910*H910</f>
        <v>95</v>
      </c>
      <c r="K910" s="13" t="n">
        <f aca="false">J910*(1-I910)</f>
        <v>80.75</v>
      </c>
    </row>
    <row r="911" customFormat="false" ht="15" hidden="false" customHeight="false" outlineLevel="0" collapsed="false">
      <c r="A911" s="11" t="n">
        <v>910</v>
      </c>
      <c r="B911" s="15" t="n">
        <v>45952</v>
      </c>
      <c r="C911" s="11" t="n">
        <v>1</v>
      </c>
      <c r="D911" s="11" t="n">
        <v>2</v>
      </c>
      <c r="E911" s="11" t="n">
        <v>34</v>
      </c>
      <c r="F911" s="11" t="n">
        <v>8</v>
      </c>
      <c r="G911" s="11" t="n">
        <v>1</v>
      </c>
      <c r="H911" s="13" t="n">
        <v>52</v>
      </c>
      <c r="I911" s="16" t="n">
        <v>0</v>
      </c>
      <c r="J911" s="13" t="n">
        <f aca="false">G911*H911</f>
        <v>52</v>
      </c>
      <c r="K911" s="13" t="n">
        <f aca="false">J911*(1-I911)</f>
        <v>52</v>
      </c>
    </row>
    <row r="912" customFormat="false" ht="15" hidden="false" customHeight="false" outlineLevel="0" collapsed="false">
      <c r="A912" s="11" t="n">
        <v>911</v>
      </c>
      <c r="B912" s="15" t="n">
        <v>45953</v>
      </c>
      <c r="C912" s="11" t="n">
        <v>5</v>
      </c>
      <c r="D912" s="11" t="n">
        <v>10</v>
      </c>
      <c r="E912" s="11" t="n">
        <v>51</v>
      </c>
      <c r="F912" s="11" t="n">
        <v>3</v>
      </c>
      <c r="G912" s="11" t="n">
        <v>2</v>
      </c>
      <c r="H912" s="13" t="n">
        <v>38</v>
      </c>
      <c r="I912" s="16" t="n">
        <v>0</v>
      </c>
      <c r="J912" s="13" t="n">
        <f aca="false">G912*H912</f>
        <v>76</v>
      </c>
      <c r="K912" s="13" t="n">
        <f aca="false">J912*(1-I912)</f>
        <v>76</v>
      </c>
    </row>
    <row r="913" customFormat="false" ht="15" hidden="false" customHeight="false" outlineLevel="0" collapsed="false">
      <c r="A913" s="11" t="n">
        <v>912</v>
      </c>
      <c r="B913" s="15" t="n">
        <v>45953</v>
      </c>
      <c r="C913" s="11" t="n">
        <v>2</v>
      </c>
      <c r="D913" s="11" t="n">
        <v>5</v>
      </c>
      <c r="E913" s="11" t="n">
        <v>29</v>
      </c>
      <c r="F913" s="11" t="n">
        <v>18</v>
      </c>
      <c r="G913" s="11" t="n">
        <v>1</v>
      </c>
      <c r="H913" s="13" t="n">
        <v>95</v>
      </c>
      <c r="I913" s="16" t="n">
        <v>0</v>
      </c>
      <c r="J913" s="13" t="n">
        <f aca="false">G913*H913</f>
        <v>95</v>
      </c>
      <c r="K913" s="13" t="n">
        <f aca="false">J913*(1-I913)</f>
        <v>95</v>
      </c>
    </row>
    <row r="914" customFormat="false" ht="15" hidden="false" customHeight="false" outlineLevel="0" collapsed="false">
      <c r="A914" s="11" t="n">
        <v>913</v>
      </c>
      <c r="B914" s="15" t="n">
        <v>45954</v>
      </c>
      <c r="C914" s="11" t="n">
        <v>4</v>
      </c>
      <c r="D914" s="11" t="n">
        <v>9</v>
      </c>
      <c r="E914" s="11" t="n">
        <v>29</v>
      </c>
      <c r="F914" s="11" t="n">
        <v>8</v>
      </c>
      <c r="G914" s="11" t="n">
        <v>1</v>
      </c>
      <c r="H914" s="13" t="n">
        <v>52</v>
      </c>
      <c r="I914" s="16" t="n">
        <v>0.05</v>
      </c>
      <c r="J914" s="13" t="n">
        <f aca="false">G914*H914</f>
        <v>52</v>
      </c>
      <c r="K914" s="13" t="n">
        <f aca="false">J914*(1-I914)</f>
        <v>49.4</v>
      </c>
    </row>
    <row r="915" customFormat="false" ht="15" hidden="false" customHeight="false" outlineLevel="0" collapsed="false">
      <c r="A915" s="11" t="n">
        <v>914</v>
      </c>
      <c r="B915" s="15" t="n">
        <v>45954</v>
      </c>
      <c r="C915" s="11" t="n">
        <v>4</v>
      </c>
      <c r="D915" s="11" t="n">
        <v>8</v>
      </c>
      <c r="E915" s="11" t="n">
        <v>3</v>
      </c>
      <c r="F915" s="11" t="n">
        <v>12</v>
      </c>
      <c r="G915" s="11" t="n">
        <v>1</v>
      </c>
      <c r="H915" s="13" t="n">
        <v>45</v>
      </c>
      <c r="I915" s="16" t="n">
        <v>0.05</v>
      </c>
      <c r="J915" s="13" t="n">
        <f aca="false">G915*H915</f>
        <v>45</v>
      </c>
      <c r="K915" s="13" t="n">
        <f aca="false">J915*(1-I915)</f>
        <v>42.75</v>
      </c>
    </row>
    <row r="916" customFormat="false" ht="15" hidden="false" customHeight="false" outlineLevel="0" collapsed="false">
      <c r="A916" s="11" t="n">
        <v>915</v>
      </c>
      <c r="B916" s="15" t="n">
        <v>45954</v>
      </c>
      <c r="C916" s="11" t="n">
        <v>5</v>
      </c>
      <c r="D916" s="11" t="n">
        <v>10</v>
      </c>
      <c r="E916" s="11" t="n">
        <v>59</v>
      </c>
      <c r="F916" s="11" t="n">
        <v>8</v>
      </c>
      <c r="G916" s="11" t="n">
        <v>2</v>
      </c>
      <c r="H916" s="13" t="n">
        <v>52</v>
      </c>
      <c r="I916" s="16" t="n">
        <v>0</v>
      </c>
      <c r="J916" s="13" t="n">
        <f aca="false">G916*H916</f>
        <v>104</v>
      </c>
      <c r="K916" s="13" t="n">
        <f aca="false">J916*(1-I916)</f>
        <v>104</v>
      </c>
    </row>
    <row r="917" customFormat="false" ht="15" hidden="false" customHeight="false" outlineLevel="0" collapsed="false">
      <c r="A917" s="11" t="n">
        <v>916</v>
      </c>
      <c r="B917" s="15" t="n">
        <v>45954</v>
      </c>
      <c r="C917" s="11" t="n">
        <v>1</v>
      </c>
      <c r="D917" s="11" t="n">
        <v>1</v>
      </c>
      <c r="E917" s="11" t="n">
        <v>46</v>
      </c>
      <c r="F917" s="11" t="n">
        <v>5</v>
      </c>
      <c r="G917" s="11" t="n">
        <v>2</v>
      </c>
      <c r="H917" s="13" t="n">
        <v>58</v>
      </c>
      <c r="I917" s="16" t="n">
        <v>0</v>
      </c>
      <c r="J917" s="13" t="n">
        <f aca="false">G917*H917</f>
        <v>116</v>
      </c>
      <c r="K917" s="13" t="n">
        <f aca="false">J917*(1-I917)</f>
        <v>116</v>
      </c>
    </row>
    <row r="918" customFormat="false" ht="15" hidden="false" customHeight="false" outlineLevel="0" collapsed="false">
      <c r="A918" s="11" t="n">
        <v>917</v>
      </c>
      <c r="B918" s="15" t="n">
        <v>45954</v>
      </c>
      <c r="C918" s="11" t="n">
        <v>5</v>
      </c>
      <c r="D918" s="11" t="n">
        <v>10</v>
      </c>
      <c r="E918" s="11" t="n">
        <v>17</v>
      </c>
      <c r="F918" s="11" t="n">
        <v>16</v>
      </c>
      <c r="G918" s="11" t="n">
        <v>2</v>
      </c>
      <c r="H918" s="13" t="n">
        <v>45</v>
      </c>
      <c r="I918" s="16" t="n">
        <v>0</v>
      </c>
      <c r="J918" s="13" t="n">
        <f aca="false">G918*H918</f>
        <v>90</v>
      </c>
      <c r="K918" s="13" t="n">
        <f aca="false">J918*(1-I918)</f>
        <v>90</v>
      </c>
    </row>
    <row r="919" customFormat="false" ht="15" hidden="false" customHeight="false" outlineLevel="0" collapsed="false">
      <c r="A919" s="11" t="n">
        <v>918</v>
      </c>
      <c r="B919" s="15" t="n">
        <v>45954</v>
      </c>
      <c r="C919" s="11" t="n">
        <v>4</v>
      </c>
      <c r="D919" s="11" t="n">
        <v>8</v>
      </c>
      <c r="E919" s="11" t="n">
        <v>34</v>
      </c>
      <c r="F919" s="11" t="n">
        <v>11</v>
      </c>
      <c r="G919" s="11" t="n">
        <v>2</v>
      </c>
      <c r="H919" s="13" t="n">
        <v>72</v>
      </c>
      <c r="I919" s="16" t="n">
        <v>0.15</v>
      </c>
      <c r="J919" s="13" t="n">
        <f aca="false">G919*H919</f>
        <v>144</v>
      </c>
      <c r="K919" s="13" t="n">
        <f aca="false">J919*(1-I919)</f>
        <v>122.4</v>
      </c>
    </row>
    <row r="920" customFormat="false" ht="15" hidden="false" customHeight="false" outlineLevel="0" collapsed="false">
      <c r="A920" s="11" t="n">
        <v>919</v>
      </c>
      <c r="B920" s="15" t="n">
        <v>45954</v>
      </c>
      <c r="C920" s="11" t="n">
        <v>4</v>
      </c>
      <c r="D920" s="11" t="n">
        <v>8</v>
      </c>
      <c r="E920" s="11" t="n">
        <v>21</v>
      </c>
      <c r="F920" s="11" t="n">
        <v>14</v>
      </c>
      <c r="G920" s="11" t="n">
        <v>2</v>
      </c>
      <c r="H920" s="13" t="n">
        <v>38</v>
      </c>
      <c r="I920" s="16" t="n">
        <v>0.05</v>
      </c>
      <c r="J920" s="13" t="n">
        <f aca="false">G920*H920</f>
        <v>76</v>
      </c>
      <c r="K920" s="13" t="n">
        <f aca="false">J920*(1-I920)</f>
        <v>72.2</v>
      </c>
    </row>
    <row r="921" customFormat="false" ht="15" hidden="false" customHeight="false" outlineLevel="0" collapsed="false">
      <c r="A921" s="11" t="n">
        <v>920</v>
      </c>
      <c r="B921" s="15" t="n">
        <v>45954</v>
      </c>
      <c r="C921" s="11" t="n">
        <v>3</v>
      </c>
      <c r="D921" s="11" t="n">
        <v>6</v>
      </c>
      <c r="E921" s="11" t="n">
        <v>7</v>
      </c>
      <c r="F921" s="11" t="n">
        <v>18</v>
      </c>
      <c r="G921" s="11" t="n">
        <v>1</v>
      </c>
      <c r="H921" s="13" t="n">
        <v>95</v>
      </c>
      <c r="I921" s="16" t="n">
        <v>0</v>
      </c>
      <c r="J921" s="13" t="n">
        <f aca="false">G921*H921</f>
        <v>95</v>
      </c>
      <c r="K921" s="13" t="n">
        <f aca="false">J921*(1-I921)</f>
        <v>95</v>
      </c>
    </row>
    <row r="922" customFormat="false" ht="15" hidden="false" customHeight="false" outlineLevel="0" collapsed="false">
      <c r="A922" s="11" t="n">
        <v>921</v>
      </c>
      <c r="B922" s="15" t="n">
        <v>45954</v>
      </c>
      <c r="C922" s="11" t="n">
        <v>2</v>
      </c>
      <c r="D922" s="11" t="n">
        <v>4</v>
      </c>
      <c r="E922" s="11" t="n">
        <v>47</v>
      </c>
      <c r="F922" s="11" t="n">
        <v>2</v>
      </c>
      <c r="G922" s="11" t="n">
        <v>3</v>
      </c>
      <c r="H922" s="13" t="n">
        <v>45</v>
      </c>
      <c r="I922" s="16" t="n">
        <v>0</v>
      </c>
      <c r="J922" s="13" t="n">
        <f aca="false">G922*H922</f>
        <v>135</v>
      </c>
      <c r="K922" s="13" t="n">
        <f aca="false">J922*(1-I922)</f>
        <v>135</v>
      </c>
    </row>
    <row r="923" customFormat="false" ht="15" hidden="false" customHeight="false" outlineLevel="0" collapsed="false">
      <c r="A923" s="11" t="n">
        <v>922</v>
      </c>
      <c r="B923" s="15" t="n">
        <v>45954</v>
      </c>
      <c r="C923" s="11" t="n">
        <v>5</v>
      </c>
      <c r="D923" s="11" t="n">
        <v>10</v>
      </c>
      <c r="E923" s="11" t="n">
        <v>27</v>
      </c>
      <c r="F923" s="11" t="n">
        <v>18</v>
      </c>
      <c r="G923" s="11" t="n">
        <v>1</v>
      </c>
      <c r="H923" s="13" t="n">
        <v>95</v>
      </c>
      <c r="I923" s="16" t="n">
        <v>0</v>
      </c>
      <c r="J923" s="13" t="n">
        <f aca="false">G923*H923</f>
        <v>95</v>
      </c>
      <c r="K923" s="13" t="n">
        <f aca="false">J923*(1-I923)</f>
        <v>95</v>
      </c>
    </row>
    <row r="924" customFormat="false" ht="15" hidden="false" customHeight="false" outlineLevel="0" collapsed="false">
      <c r="A924" s="11" t="n">
        <v>923</v>
      </c>
      <c r="B924" s="15" t="n">
        <v>45955</v>
      </c>
      <c r="C924" s="11" t="n">
        <v>3</v>
      </c>
      <c r="D924" s="11" t="n">
        <v>6</v>
      </c>
      <c r="E924" s="11" t="n">
        <v>40</v>
      </c>
      <c r="F924" s="11" t="n">
        <v>3</v>
      </c>
      <c r="G924" s="11" t="n">
        <v>1</v>
      </c>
      <c r="H924" s="13" t="n">
        <v>38</v>
      </c>
      <c r="I924" s="16" t="n">
        <v>0</v>
      </c>
      <c r="J924" s="13" t="n">
        <f aca="false">G924*H924</f>
        <v>38</v>
      </c>
      <c r="K924" s="13" t="n">
        <f aca="false">J924*(1-I924)</f>
        <v>38</v>
      </c>
    </row>
    <row r="925" customFormat="false" ht="15" hidden="false" customHeight="false" outlineLevel="0" collapsed="false">
      <c r="A925" s="11" t="n">
        <v>924</v>
      </c>
      <c r="B925" s="15" t="n">
        <v>45955</v>
      </c>
      <c r="C925" s="11" t="n">
        <v>1</v>
      </c>
      <c r="D925" s="11" t="n">
        <v>3</v>
      </c>
      <c r="E925" s="11" t="n">
        <v>6</v>
      </c>
      <c r="F925" s="11" t="n">
        <v>4</v>
      </c>
      <c r="G925" s="11" t="n">
        <v>1</v>
      </c>
      <c r="H925" s="13" t="n">
        <v>55</v>
      </c>
      <c r="I925" s="16" t="n">
        <v>0</v>
      </c>
      <c r="J925" s="13" t="n">
        <f aca="false">G925*H925</f>
        <v>55</v>
      </c>
      <c r="K925" s="13" t="n">
        <f aca="false">J925*(1-I925)</f>
        <v>55</v>
      </c>
    </row>
    <row r="926" customFormat="false" ht="15" hidden="false" customHeight="false" outlineLevel="0" collapsed="false">
      <c r="A926" s="11" t="n">
        <v>925</v>
      </c>
      <c r="B926" s="15" t="n">
        <v>45955</v>
      </c>
      <c r="C926" s="11" t="n">
        <v>3</v>
      </c>
      <c r="D926" s="11" t="n">
        <v>7</v>
      </c>
      <c r="E926" s="11" t="n">
        <v>44</v>
      </c>
      <c r="F926" s="11" t="n">
        <v>15</v>
      </c>
      <c r="G926" s="11" t="n">
        <v>2</v>
      </c>
      <c r="H926" s="13" t="n">
        <v>65</v>
      </c>
      <c r="I926" s="16" t="n">
        <v>0</v>
      </c>
      <c r="J926" s="13" t="n">
        <f aca="false">G926*H926</f>
        <v>130</v>
      </c>
      <c r="K926" s="13" t="n">
        <f aca="false">J926*(1-I926)</f>
        <v>130</v>
      </c>
    </row>
    <row r="927" customFormat="false" ht="15" hidden="false" customHeight="false" outlineLevel="0" collapsed="false">
      <c r="A927" s="11" t="n">
        <v>926</v>
      </c>
      <c r="B927" s="15" t="n">
        <v>45955</v>
      </c>
      <c r="C927" s="11" t="n">
        <v>1</v>
      </c>
      <c r="D927" s="11" t="n">
        <v>1</v>
      </c>
      <c r="E927" s="11" t="n">
        <v>29</v>
      </c>
      <c r="F927" s="11" t="n">
        <v>17</v>
      </c>
      <c r="G927" s="11" t="n">
        <v>1</v>
      </c>
      <c r="H927" s="13" t="n">
        <v>28</v>
      </c>
      <c r="I927" s="16" t="n">
        <v>0</v>
      </c>
      <c r="J927" s="13" t="n">
        <f aca="false">G927*H927</f>
        <v>28</v>
      </c>
      <c r="K927" s="13" t="n">
        <f aca="false">J927*(1-I927)</f>
        <v>28</v>
      </c>
    </row>
    <row r="928" customFormat="false" ht="15" hidden="false" customHeight="false" outlineLevel="0" collapsed="false">
      <c r="A928" s="11" t="n">
        <v>927</v>
      </c>
      <c r="B928" s="15" t="n">
        <v>45956</v>
      </c>
      <c r="C928" s="11" t="n">
        <v>3</v>
      </c>
      <c r="D928" s="11" t="n">
        <v>7</v>
      </c>
      <c r="E928" s="11" t="n">
        <v>10</v>
      </c>
      <c r="F928" s="11" t="n">
        <v>7</v>
      </c>
      <c r="G928" s="11" t="n">
        <v>1</v>
      </c>
      <c r="H928" s="13" t="n">
        <v>50</v>
      </c>
      <c r="I928" s="16" t="n">
        <v>0.1</v>
      </c>
      <c r="J928" s="13" t="n">
        <f aca="false">G928*H928</f>
        <v>50</v>
      </c>
      <c r="K928" s="13" t="n">
        <f aca="false">J928*(1-I928)</f>
        <v>45</v>
      </c>
    </row>
    <row r="929" customFormat="false" ht="15" hidden="false" customHeight="false" outlineLevel="0" collapsed="false">
      <c r="A929" s="11" t="n">
        <v>928</v>
      </c>
      <c r="B929" s="15" t="n">
        <v>45956</v>
      </c>
      <c r="C929" s="11" t="n">
        <v>3</v>
      </c>
      <c r="D929" s="11" t="n">
        <v>6</v>
      </c>
      <c r="E929" s="11" t="n">
        <v>11</v>
      </c>
      <c r="F929" s="11" t="n">
        <v>13</v>
      </c>
      <c r="G929" s="11" t="n">
        <v>4</v>
      </c>
      <c r="H929" s="13" t="n">
        <v>32</v>
      </c>
      <c r="I929" s="16" t="n">
        <v>0</v>
      </c>
      <c r="J929" s="13" t="n">
        <f aca="false">G929*H929</f>
        <v>128</v>
      </c>
      <c r="K929" s="13" t="n">
        <f aca="false">J929*(1-I929)</f>
        <v>128</v>
      </c>
    </row>
    <row r="930" customFormat="false" ht="15" hidden="false" customHeight="false" outlineLevel="0" collapsed="false">
      <c r="A930" s="11" t="n">
        <v>929</v>
      </c>
      <c r="B930" s="15" t="n">
        <v>45957</v>
      </c>
      <c r="C930" s="11" t="n">
        <v>5</v>
      </c>
      <c r="D930" s="11" t="n">
        <v>10</v>
      </c>
      <c r="E930" s="11" t="n">
        <v>49</v>
      </c>
      <c r="F930" s="11" t="n">
        <v>15</v>
      </c>
      <c r="G930" s="11" t="n">
        <v>1</v>
      </c>
      <c r="H930" s="13" t="n">
        <v>65</v>
      </c>
      <c r="I930" s="16" t="n">
        <v>0.15</v>
      </c>
      <c r="J930" s="13" t="n">
        <f aca="false">G930*H930</f>
        <v>65</v>
      </c>
      <c r="K930" s="13" t="n">
        <f aca="false">J930*(1-I930)</f>
        <v>55.25</v>
      </c>
    </row>
    <row r="931" customFormat="false" ht="15" hidden="false" customHeight="false" outlineLevel="0" collapsed="false">
      <c r="A931" s="11" t="n">
        <v>930</v>
      </c>
      <c r="B931" s="15" t="n">
        <v>45958</v>
      </c>
      <c r="C931" s="11" t="n">
        <v>5</v>
      </c>
      <c r="D931" s="11" t="n">
        <v>10</v>
      </c>
      <c r="E931" s="11" t="n">
        <v>1</v>
      </c>
      <c r="F931" s="11" t="n">
        <v>10</v>
      </c>
      <c r="G931" s="11" t="n">
        <v>2</v>
      </c>
      <c r="H931" s="13" t="n">
        <v>70</v>
      </c>
      <c r="I931" s="16" t="n">
        <v>0</v>
      </c>
      <c r="J931" s="13" t="n">
        <f aca="false">G931*H931</f>
        <v>140</v>
      </c>
      <c r="K931" s="13" t="n">
        <f aca="false">J931*(1-I931)</f>
        <v>140</v>
      </c>
    </row>
    <row r="932" customFormat="false" ht="15" hidden="false" customHeight="false" outlineLevel="0" collapsed="false">
      <c r="A932" s="11" t="n">
        <v>931</v>
      </c>
      <c r="B932" s="15" t="n">
        <v>45958</v>
      </c>
      <c r="C932" s="11" t="n">
        <v>1</v>
      </c>
      <c r="D932" s="11" t="n">
        <v>1</v>
      </c>
      <c r="E932" s="11" t="n">
        <v>5</v>
      </c>
      <c r="F932" s="11" t="n">
        <v>16</v>
      </c>
      <c r="G932" s="11" t="n">
        <v>2</v>
      </c>
      <c r="H932" s="13" t="n">
        <v>45</v>
      </c>
      <c r="I932" s="16" t="n">
        <v>0</v>
      </c>
      <c r="J932" s="13" t="n">
        <f aca="false">G932*H932</f>
        <v>90</v>
      </c>
      <c r="K932" s="13" t="n">
        <f aca="false">J932*(1-I932)</f>
        <v>90</v>
      </c>
    </row>
    <row r="933" customFormat="false" ht="15" hidden="false" customHeight="false" outlineLevel="0" collapsed="false">
      <c r="A933" s="11" t="n">
        <v>932</v>
      </c>
      <c r="B933" s="15" t="n">
        <v>45959</v>
      </c>
      <c r="C933" s="11" t="n">
        <v>4</v>
      </c>
      <c r="D933" s="11" t="n">
        <v>9</v>
      </c>
      <c r="E933" s="11" t="n">
        <v>44</v>
      </c>
      <c r="F933" s="11" t="n">
        <v>19</v>
      </c>
      <c r="G933" s="11" t="n">
        <v>5</v>
      </c>
      <c r="H933" s="13" t="n">
        <v>125</v>
      </c>
      <c r="I933" s="16" t="n">
        <v>0</v>
      </c>
      <c r="J933" s="13" t="n">
        <f aca="false">G933*H933</f>
        <v>625</v>
      </c>
      <c r="K933" s="13" t="n">
        <f aca="false">J933*(1-I933)</f>
        <v>625</v>
      </c>
    </row>
    <row r="934" customFormat="false" ht="15" hidden="false" customHeight="false" outlineLevel="0" collapsed="false">
      <c r="A934" s="11" t="n">
        <v>933</v>
      </c>
      <c r="B934" s="15" t="n">
        <v>45959</v>
      </c>
      <c r="C934" s="11" t="n">
        <v>3</v>
      </c>
      <c r="D934" s="11" t="n">
        <v>6</v>
      </c>
      <c r="E934" s="11" t="n">
        <v>52</v>
      </c>
      <c r="F934" s="11" t="n">
        <v>18</v>
      </c>
      <c r="G934" s="11" t="n">
        <v>2</v>
      </c>
      <c r="H934" s="13" t="n">
        <v>95</v>
      </c>
      <c r="I934" s="16" t="n">
        <v>0</v>
      </c>
      <c r="J934" s="13" t="n">
        <f aca="false">G934*H934</f>
        <v>190</v>
      </c>
      <c r="K934" s="13" t="n">
        <f aca="false">J934*(1-I934)</f>
        <v>190</v>
      </c>
    </row>
    <row r="935" customFormat="false" ht="15" hidden="false" customHeight="false" outlineLevel="0" collapsed="false">
      <c r="A935" s="11" t="n">
        <v>934</v>
      </c>
      <c r="B935" s="15" t="n">
        <v>45960</v>
      </c>
      <c r="C935" s="11" t="n">
        <v>4</v>
      </c>
      <c r="D935" s="11" t="n">
        <v>9</v>
      </c>
      <c r="E935" s="11" t="n">
        <v>30</v>
      </c>
      <c r="F935" s="11" t="n">
        <v>1</v>
      </c>
      <c r="G935" s="11" t="n">
        <v>1</v>
      </c>
      <c r="H935" s="13" t="n">
        <v>35</v>
      </c>
      <c r="I935" s="16" t="n">
        <v>0</v>
      </c>
      <c r="J935" s="13" t="n">
        <f aca="false">G935*H935</f>
        <v>35</v>
      </c>
      <c r="K935" s="13" t="n">
        <f aca="false">J935*(1-I935)</f>
        <v>35</v>
      </c>
    </row>
    <row r="936" customFormat="false" ht="15" hidden="false" customHeight="false" outlineLevel="0" collapsed="false">
      <c r="A936" s="11" t="n">
        <v>935</v>
      </c>
      <c r="B936" s="15" t="n">
        <v>45960</v>
      </c>
      <c r="C936" s="11" t="n">
        <v>3</v>
      </c>
      <c r="D936" s="11" t="n">
        <v>6</v>
      </c>
      <c r="E936" s="11" t="n">
        <v>46</v>
      </c>
      <c r="F936" s="11" t="n">
        <v>5</v>
      </c>
      <c r="G936" s="11" t="n">
        <v>1</v>
      </c>
      <c r="H936" s="13" t="n">
        <v>58</v>
      </c>
      <c r="I936" s="16" t="n">
        <v>0</v>
      </c>
      <c r="J936" s="13" t="n">
        <f aca="false">G936*H936</f>
        <v>58</v>
      </c>
      <c r="K936" s="13" t="n">
        <f aca="false">J936*(1-I936)</f>
        <v>58</v>
      </c>
    </row>
    <row r="937" customFormat="false" ht="15" hidden="false" customHeight="false" outlineLevel="0" collapsed="false">
      <c r="A937" s="11" t="n">
        <v>936</v>
      </c>
      <c r="B937" s="15" t="n">
        <v>45960</v>
      </c>
      <c r="C937" s="11" t="n">
        <v>3</v>
      </c>
      <c r="D937" s="11" t="n">
        <v>7</v>
      </c>
      <c r="E937" s="11" t="n">
        <v>37</v>
      </c>
      <c r="F937" s="11" t="n">
        <v>19</v>
      </c>
      <c r="G937" s="11" t="n">
        <v>1</v>
      </c>
      <c r="H937" s="13" t="n">
        <v>125</v>
      </c>
      <c r="I937" s="16" t="n">
        <v>0.1</v>
      </c>
      <c r="J937" s="13" t="n">
        <f aca="false">G937*H937</f>
        <v>125</v>
      </c>
      <c r="K937" s="13" t="n">
        <f aca="false">J937*(1-I937)</f>
        <v>112.5</v>
      </c>
    </row>
    <row r="938" customFormat="false" ht="15" hidden="false" customHeight="false" outlineLevel="0" collapsed="false">
      <c r="A938" s="11" t="n">
        <v>937</v>
      </c>
      <c r="B938" s="15" t="n">
        <v>45960</v>
      </c>
      <c r="C938" s="11" t="n">
        <v>2</v>
      </c>
      <c r="D938" s="11" t="n">
        <v>4</v>
      </c>
      <c r="E938" s="11" t="n">
        <v>30</v>
      </c>
      <c r="F938" s="11" t="n">
        <v>17</v>
      </c>
      <c r="G938" s="11" t="n">
        <v>1</v>
      </c>
      <c r="H938" s="13" t="n">
        <v>28</v>
      </c>
      <c r="I938" s="16" t="n">
        <v>0.05</v>
      </c>
      <c r="J938" s="13" t="n">
        <f aca="false">G938*H938</f>
        <v>28</v>
      </c>
      <c r="K938" s="13" t="n">
        <f aca="false">J938*(1-I938)</f>
        <v>26.6</v>
      </c>
    </row>
    <row r="939" customFormat="false" ht="15" hidden="false" customHeight="false" outlineLevel="0" collapsed="false">
      <c r="A939" s="11" t="n">
        <v>938</v>
      </c>
      <c r="B939" s="15" t="n">
        <v>45960</v>
      </c>
      <c r="C939" s="11" t="n">
        <v>1</v>
      </c>
      <c r="D939" s="11" t="n">
        <v>1</v>
      </c>
      <c r="E939" s="11" t="n">
        <v>5</v>
      </c>
      <c r="F939" s="11" t="n">
        <v>12</v>
      </c>
      <c r="G939" s="11" t="n">
        <v>1</v>
      </c>
      <c r="H939" s="13" t="n">
        <v>45</v>
      </c>
      <c r="I939" s="16" t="n">
        <v>0</v>
      </c>
      <c r="J939" s="13" t="n">
        <f aca="false">G939*H939</f>
        <v>45</v>
      </c>
      <c r="K939" s="13" t="n">
        <f aca="false">J939*(1-I939)</f>
        <v>45</v>
      </c>
    </row>
    <row r="940" customFormat="false" ht="15" hidden="false" customHeight="false" outlineLevel="0" collapsed="false">
      <c r="A940" s="11" t="n">
        <v>939</v>
      </c>
      <c r="B940" s="15" t="n">
        <v>45961</v>
      </c>
      <c r="C940" s="11" t="n">
        <v>3</v>
      </c>
      <c r="D940" s="11" t="n">
        <v>6</v>
      </c>
      <c r="E940" s="11" t="n">
        <v>57</v>
      </c>
      <c r="F940" s="11" t="n">
        <v>14</v>
      </c>
      <c r="G940" s="11" t="n">
        <v>2</v>
      </c>
      <c r="H940" s="13" t="n">
        <v>38</v>
      </c>
      <c r="I940" s="16" t="n">
        <v>0.05</v>
      </c>
      <c r="J940" s="13" t="n">
        <f aca="false">G940*H940</f>
        <v>76</v>
      </c>
      <c r="K940" s="13" t="n">
        <f aca="false">J940*(1-I940)</f>
        <v>72.2</v>
      </c>
    </row>
    <row r="941" customFormat="false" ht="15" hidden="false" customHeight="false" outlineLevel="0" collapsed="false">
      <c r="A941" s="11" t="n">
        <v>940</v>
      </c>
      <c r="B941" s="15" t="n">
        <v>45961</v>
      </c>
      <c r="C941" s="11" t="n">
        <v>1</v>
      </c>
      <c r="D941" s="11" t="n">
        <v>2</v>
      </c>
      <c r="E941" s="11" t="n">
        <v>12</v>
      </c>
      <c r="F941" s="11" t="n">
        <v>3</v>
      </c>
      <c r="G941" s="11" t="n">
        <v>1</v>
      </c>
      <c r="H941" s="13" t="n">
        <v>38</v>
      </c>
      <c r="I941" s="16" t="n">
        <v>0</v>
      </c>
      <c r="J941" s="13" t="n">
        <f aca="false">G941*H941</f>
        <v>38</v>
      </c>
      <c r="K941" s="13" t="n">
        <f aca="false">J941*(1-I941)</f>
        <v>38</v>
      </c>
    </row>
    <row r="942" customFormat="false" ht="15" hidden="false" customHeight="false" outlineLevel="0" collapsed="false">
      <c r="A942" s="11" t="n">
        <v>941</v>
      </c>
      <c r="B942" s="15" t="n">
        <v>45961</v>
      </c>
      <c r="C942" s="11" t="n">
        <v>2</v>
      </c>
      <c r="D942" s="11" t="n">
        <v>5</v>
      </c>
      <c r="E942" s="11" t="n">
        <v>50</v>
      </c>
      <c r="F942" s="11" t="n">
        <v>8</v>
      </c>
      <c r="G942" s="11" t="n">
        <v>2</v>
      </c>
      <c r="H942" s="13" t="n">
        <v>52</v>
      </c>
      <c r="I942" s="16" t="n">
        <v>0.1</v>
      </c>
      <c r="J942" s="13" t="n">
        <f aca="false">G942*H942</f>
        <v>104</v>
      </c>
      <c r="K942" s="13" t="n">
        <f aca="false">J942*(1-I942)</f>
        <v>93.6</v>
      </c>
    </row>
    <row r="943" customFormat="false" ht="15" hidden="false" customHeight="false" outlineLevel="0" collapsed="false">
      <c r="A943" s="11" t="n">
        <v>942</v>
      </c>
      <c r="B943" s="15" t="n">
        <v>45961</v>
      </c>
      <c r="C943" s="11" t="n">
        <v>4</v>
      </c>
      <c r="D943" s="11" t="n">
        <v>8</v>
      </c>
      <c r="E943" s="11" t="n">
        <v>58</v>
      </c>
      <c r="F943" s="11" t="n">
        <v>15</v>
      </c>
      <c r="G943" s="11" t="n">
        <v>1</v>
      </c>
      <c r="H943" s="13" t="n">
        <v>65</v>
      </c>
      <c r="I943" s="16" t="n">
        <v>0</v>
      </c>
      <c r="J943" s="13" t="n">
        <f aca="false">G943*H943</f>
        <v>65</v>
      </c>
      <c r="K943" s="13" t="n">
        <f aca="false">J943*(1-I943)</f>
        <v>65</v>
      </c>
    </row>
    <row r="944" customFormat="false" ht="15" hidden="false" customHeight="false" outlineLevel="0" collapsed="false">
      <c r="A944" s="11" t="n">
        <v>943</v>
      </c>
      <c r="B944" s="15" t="n">
        <v>45961</v>
      </c>
      <c r="C944" s="11" t="n">
        <v>4</v>
      </c>
      <c r="D944" s="11" t="n">
        <v>9</v>
      </c>
      <c r="E944" s="11" t="n">
        <v>52</v>
      </c>
      <c r="F944" s="11" t="n">
        <v>10</v>
      </c>
      <c r="G944" s="11" t="n">
        <v>1</v>
      </c>
      <c r="H944" s="13" t="n">
        <v>70</v>
      </c>
      <c r="I944" s="16" t="n">
        <v>0</v>
      </c>
      <c r="J944" s="13" t="n">
        <f aca="false">G944*H944</f>
        <v>70</v>
      </c>
      <c r="K944" s="13" t="n">
        <f aca="false">J944*(1-I944)</f>
        <v>70</v>
      </c>
    </row>
    <row r="945" customFormat="false" ht="15" hidden="false" customHeight="false" outlineLevel="0" collapsed="false">
      <c r="A945" s="11" t="n">
        <v>944</v>
      </c>
      <c r="B945" s="15" t="n">
        <v>45962</v>
      </c>
      <c r="C945" s="11" t="n">
        <v>1</v>
      </c>
      <c r="D945" s="11" t="n">
        <v>3</v>
      </c>
      <c r="E945" s="11" t="n">
        <v>9</v>
      </c>
      <c r="F945" s="11" t="n">
        <v>7</v>
      </c>
      <c r="G945" s="11" t="n">
        <v>2</v>
      </c>
      <c r="H945" s="13" t="n">
        <v>50</v>
      </c>
      <c r="I945" s="16" t="n">
        <v>0</v>
      </c>
      <c r="J945" s="13" t="n">
        <f aca="false">G945*H945</f>
        <v>100</v>
      </c>
      <c r="K945" s="13" t="n">
        <f aca="false">J945*(1-I945)</f>
        <v>100</v>
      </c>
    </row>
    <row r="946" customFormat="false" ht="15" hidden="false" customHeight="false" outlineLevel="0" collapsed="false">
      <c r="A946" s="11" t="n">
        <v>945</v>
      </c>
      <c r="B946" s="15" t="n">
        <v>45962</v>
      </c>
      <c r="C946" s="11" t="n">
        <v>1</v>
      </c>
      <c r="D946" s="11" t="n">
        <v>2</v>
      </c>
      <c r="E946" s="11" t="n">
        <v>56</v>
      </c>
      <c r="F946" s="11" t="n">
        <v>11</v>
      </c>
      <c r="G946" s="11" t="n">
        <v>3</v>
      </c>
      <c r="H946" s="13" t="n">
        <v>72</v>
      </c>
      <c r="I946" s="16" t="n">
        <v>0</v>
      </c>
      <c r="J946" s="13" t="n">
        <f aca="false">G946*H946</f>
        <v>216</v>
      </c>
      <c r="K946" s="13" t="n">
        <f aca="false">J946*(1-I946)</f>
        <v>216</v>
      </c>
    </row>
    <row r="947" customFormat="false" ht="15" hidden="false" customHeight="false" outlineLevel="0" collapsed="false">
      <c r="A947" s="11" t="n">
        <v>946</v>
      </c>
      <c r="B947" s="15" t="n">
        <v>45962</v>
      </c>
      <c r="C947" s="11" t="n">
        <v>5</v>
      </c>
      <c r="D947" s="11" t="n">
        <v>10</v>
      </c>
      <c r="E947" s="11" t="n">
        <v>15</v>
      </c>
      <c r="F947" s="11" t="n">
        <v>5</v>
      </c>
      <c r="G947" s="11" t="n">
        <v>1</v>
      </c>
      <c r="H947" s="13" t="n">
        <v>58</v>
      </c>
      <c r="I947" s="16" t="n">
        <v>0</v>
      </c>
      <c r="J947" s="13" t="n">
        <f aca="false">G947*H947</f>
        <v>58</v>
      </c>
      <c r="K947" s="13" t="n">
        <f aca="false">J947*(1-I947)</f>
        <v>58</v>
      </c>
    </row>
    <row r="948" customFormat="false" ht="15" hidden="false" customHeight="false" outlineLevel="0" collapsed="false">
      <c r="A948" s="11" t="n">
        <v>947</v>
      </c>
      <c r="B948" s="15" t="n">
        <v>45962</v>
      </c>
      <c r="C948" s="11" t="n">
        <v>2</v>
      </c>
      <c r="D948" s="11" t="n">
        <v>5</v>
      </c>
      <c r="E948" s="11" t="n">
        <v>25</v>
      </c>
      <c r="F948" s="11" t="n">
        <v>11</v>
      </c>
      <c r="G948" s="11" t="n">
        <v>4</v>
      </c>
      <c r="H948" s="13" t="n">
        <v>72</v>
      </c>
      <c r="I948" s="16" t="n">
        <v>0</v>
      </c>
      <c r="J948" s="13" t="n">
        <f aca="false">G948*H948</f>
        <v>288</v>
      </c>
      <c r="K948" s="13" t="n">
        <f aca="false">J948*(1-I948)</f>
        <v>288</v>
      </c>
    </row>
    <row r="949" customFormat="false" ht="15" hidden="false" customHeight="false" outlineLevel="0" collapsed="false">
      <c r="A949" s="11" t="n">
        <v>948</v>
      </c>
      <c r="B949" s="15" t="n">
        <v>45962</v>
      </c>
      <c r="C949" s="11" t="n">
        <v>1</v>
      </c>
      <c r="D949" s="11" t="n">
        <v>2</v>
      </c>
      <c r="E949" s="11" t="n">
        <v>24</v>
      </c>
      <c r="F949" s="11" t="n">
        <v>16</v>
      </c>
      <c r="G949" s="11" t="n">
        <v>1</v>
      </c>
      <c r="H949" s="13" t="n">
        <v>45</v>
      </c>
      <c r="I949" s="16" t="n">
        <v>0.1</v>
      </c>
      <c r="J949" s="13" t="n">
        <f aca="false">G949*H949</f>
        <v>45</v>
      </c>
      <c r="K949" s="13" t="n">
        <f aca="false">J949*(1-I949)</f>
        <v>40.5</v>
      </c>
    </row>
    <row r="950" customFormat="false" ht="15" hidden="false" customHeight="false" outlineLevel="0" collapsed="false">
      <c r="A950" s="11" t="n">
        <v>949</v>
      </c>
      <c r="B950" s="15" t="n">
        <v>45963</v>
      </c>
      <c r="C950" s="11" t="n">
        <v>4</v>
      </c>
      <c r="D950" s="11" t="n">
        <v>9</v>
      </c>
      <c r="E950" s="11" t="n">
        <v>9</v>
      </c>
      <c r="F950" s="11" t="n">
        <v>8</v>
      </c>
      <c r="G950" s="11" t="n">
        <v>1</v>
      </c>
      <c r="H950" s="13" t="n">
        <v>52</v>
      </c>
      <c r="I950" s="16" t="n">
        <v>0</v>
      </c>
      <c r="J950" s="13" t="n">
        <f aca="false">G950*H950</f>
        <v>52</v>
      </c>
      <c r="K950" s="13" t="n">
        <f aca="false">J950*(1-I950)</f>
        <v>52</v>
      </c>
    </row>
    <row r="951" customFormat="false" ht="15" hidden="false" customHeight="false" outlineLevel="0" collapsed="false">
      <c r="A951" s="11" t="n">
        <v>950</v>
      </c>
      <c r="B951" s="15" t="n">
        <v>45963</v>
      </c>
      <c r="C951" s="11" t="n">
        <v>2</v>
      </c>
      <c r="D951" s="11" t="n">
        <v>5</v>
      </c>
      <c r="E951" s="11" t="n">
        <v>5</v>
      </c>
      <c r="F951" s="11" t="n">
        <v>4</v>
      </c>
      <c r="G951" s="11" t="n">
        <v>2</v>
      </c>
      <c r="H951" s="13" t="n">
        <v>55</v>
      </c>
      <c r="I951" s="16" t="n">
        <v>0</v>
      </c>
      <c r="J951" s="13" t="n">
        <f aca="false">G951*H951</f>
        <v>110</v>
      </c>
      <c r="K951" s="13" t="n">
        <f aca="false">J951*(1-I951)</f>
        <v>110</v>
      </c>
    </row>
    <row r="952" customFormat="false" ht="15" hidden="false" customHeight="false" outlineLevel="0" collapsed="false">
      <c r="A952" s="11" t="n">
        <v>951</v>
      </c>
      <c r="B952" s="15" t="n">
        <v>45964</v>
      </c>
      <c r="C952" s="11" t="n">
        <v>1</v>
      </c>
      <c r="D952" s="11" t="n">
        <v>2</v>
      </c>
      <c r="E952" s="11" t="n">
        <v>39</v>
      </c>
      <c r="F952" s="11" t="n">
        <v>19</v>
      </c>
      <c r="G952" s="11" t="n">
        <v>4</v>
      </c>
      <c r="H952" s="13" t="n">
        <v>125</v>
      </c>
      <c r="I952" s="16" t="n">
        <v>0</v>
      </c>
      <c r="J952" s="13" t="n">
        <f aca="false">G952*H952</f>
        <v>500</v>
      </c>
      <c r="K952" s="13" t="n">
        <f aca="false">J952*(1-I952)</f>
        <v>500</v>
      </c>
    </row>
    <row r="953" customFormat="false" ht="15" hidden="false" customHeight="false" outlineLevel="0" collapsed="false">
      <c r="A953" s="11" t="n">
        <v>952</v>
      </c>
      <c r="B953" s="15" t="n">
        <v>45964</v>
      </c>
      <c r="C953" s="11" t="n">
        <v>3</v>
      </c>
      <c r="D953" s="11" t="n">
        <v>6</v>
      </c>
      <c r="E953" s="11" t="n">
        <v>24</v>
      </c>
      <c r="F953" s="11" t="n">
        <v>11</v>
      </c>
      <c r="G953" s="11" t="n">
        <v>1</v>
      </c>
      <c r="H953" s="13" t="n">
        <v>72</v>
      </c>
      <c r="I953" s="16" t="n">
        <v>0</v>
      </c>
      <c r="J953" s="13" t="n">
        <f aca="false">G953*H953</f>
        <v>72</v>
      </c>
      <c r="K953" s="13" t="n">
        <f aca="false">J953*(1-I953)</f>
        <v>72</v>
      </c>
    </row>
    <row r="954" customFormat="false" ht="15" hidden="false" customHeight="false" outlineLevel="0" collapsed="false">
      <c r="A954" s="11" t="n">
        <v>953</v>
      </c>
      <c r="B954" s="15" t="n">
        <v>45964</v>
      </c>
      <c r="C954" s="11" t="n">
        <v>4</v>
      </c>
      <c r="D954" s="11" t="n">
        <v>9</v>
      </c>
      <c r="E954" s="11" t="n">
        <v>29</v>
      </c>
      <c r="F954" s="11" t="n">
        <v>1</v>
      </c>
      <c r="G954" s="11" t="n">
        <v>1</v>
      </c>
      <c r="H954" s="13" t="n">
        <v>35</v>
      </c>
      <c r="I954" s="16" t="n">
        <v>0</v>
      </c>
      <c r="J954" s="13" t="n">
        <f aca="false">G954*H954</f>
        <v>35</v>
      </c>
      <c r="K954" s="13" t="n">
        <f aca="false">J954*(1-I954)</f>
        <v>35</v>
      </c>
    </row>
    <row r="955" customFormat="false" ht="15" hidden="false" customHeight="false" outlineLevel="0" collapsed="false">
      <c r="A955" s="11" t="n">
        <v>954</v>
      </c>
      <c r="B955" s="15" t="n">
        <v>45964</v>
      </c>
      <c r="C955" s="11" t="n">
        <v>2</v>
      </c>
      <c r="D955" s="11" t="n">
        <v>5</v>
      </c>
      <c r="E955" s="11" t="n">
        <v>4</v>
      </c>
      <c r="F955" s="11" t="n">
        <v>6</v>
      </c>
      <c r="G955" s="11" t="n">
        <v>3</v>
      </c>
      <c r="H955" s="13" t="n">
        <v>62</v>
      </c>
      <c r="I955" s="16" t="n">
        <v>0</v>
      </c>
      <c r="J955" s="13" t="n">
        <f aca="false">G955*H955</f>
        <v>186</v>
      </c>
      <c r="K955" s="13" t="n">
        <f aca="false">J955*(1-I955)</f>
        <v>186</v>
      </c>
    </row>
    <row r="956" customFormat="false" ht="15" hidden="false" customHeight="false" outlineLevel="0" collapsed="false">
      <c r="A956" s="11" t="n">
        <v>955</v>
      </c>
      <c r="B956" s="15" t="n">
        <v>45964</v>
      </c>
      <c r="C956" s="11" t="n">
        <v>1</v>
      </c>
      <c r="D956" s="11" t="n">
        <v>2</v>
      </c>
      <c r="E956" s="11" t="n">
        <v>26</v>
      </c>
      <c r="F956" s="11" t="n">
        <v>6</v>
      </c>
      <c r="G956" s="11" t="n">
        <v>1</v>
      </c>
      <c r="H956" s="13" t="n">
        <v>62</v>
      </c>
      <c r="I956" s="16" t="n">
        <v>0</v>
      </c>
      <c r="J956" s="13" t="n">
        <f aca="false">G956*H956</f>
        <v>62</v>
      </c>
      <c r="K956" s="13" t="n">
        <f aca="false">J956*(1-I956)</f>
        <v>62</v>
      </c>
    </row>
    <row r="957" customFormat="false" ht="15" hidden="false" customHeight="false" outlineLevel="0" collapsed="false">
      <c r="A957" s="11" t="n">
        <v>956</v>
      </c>
      <c r="B957" s="15" t="n">
        <v>45965</v>
      </c>
      <c r="C957" s="11" t="n">
        <v>4</v>
      </c>
      <c r="D957" s="11" t="n">
        <v>8</v>
      </c>
      <c r="E957" s="11" t="n">
        <v>9</v>
      </c>
      <c r="F957" s="11" t="n">
        <v>1</v>
      </c>
      <c r="G957" s="11" t="n">
        <v>1</v>
      </c>
      <c r="H957" s="13" t="n">
        <v>35</v>
      </c>
      <c r="I957" s="16" t="n">
        <v>0</v>
      </c>
      <c r="J957" s="13" t="n">
        <f aca="false">G957*H957</f>
        <v>35</v>
      </c>
      <c r="K957" s="13" t="n">
        <f aca="false">J957*(1-I957)</f>
        <v>35</v>
      </c>
    </row>
    <row r="958" customFormat="false" ht="15" hidden="false" customHeight="false" outlineLevel="0" collapsed="false">
      <c r="A958" s="11" t="n">
        <v>957</v>
      </c>
      <c r="B958" s="15" t="n">
        <v>45965</v>
      </c>
      <c r="C958" s="11" t="n">
        <v>1</v>
      </c>
      <c r="D958" s="11" t="n">
        <v>2</v>
      </c>
      <c r="E958" s="11" t="n">
        <v>42</v>
      </c>
      <c r="F958" s="11" t="n">
        <v>4</v>
      </c>
      <c r="G958" s="11" t="n">
        <v>2</v>
      </c>
      <c r="H958" s="13" t="n">
        <v>55</v>
      </c>
      <c r="I958" s="16" t="n">
        <v>0</v>
      </c>
      <c r="J958" s="13" t="n">
        <f aca="false">G958*H958</f>
        <v>110</v>
      </c>
      <c r="K958" s="13" t="n">
        <f aca="false">J958*(1-I958)</f>
        <v>110</v>
      </c>
    </row>
    <row r="959" customFormat="false" ht="15" hidden="false" customHeight="false" outlineLevel="0" collapsed="false">
      <c r="A959" s="11" t="n">
        <v>958</v>
      </c>
      <c r="B959" s="15" t="n">
        <v>45965</v>
      </c>
      <c r="C959" s="11" t="n">
        <v>3</v>
      </c>
      <c r="D959" s="11" t="n">
        <v>7</v>
      </c>
      <c r="E959" s="11" t="n">
        <v>2</v>
      </c>
      <c r="F959" s="11" t="n">
        <v>19</v>
      </c>
      <c r="G959" s="11" t="n">
        <v>2</v>
      </c>
      <c r="H959" s="13" t="n">
        <v>125</v>
      </c>
      <c r="I959" s="16" t="n">
        <v>0</v>
      </c>
      <c r="J959" s="13" t="n">
        <f aca="false">G959*H959</f>
        <v>250</v>
      </c>
      <c r="K959" s="13" t="n">
        <f aca="false">J959*(1-I959)</f>
        <v>250</v>
      </c>
    </row>
    <row r="960" customFormat="false" ht="15" hidden="false" customHeight="false" outlineLevel="0" collapsed="false">
      <c r="A960" s="11" t="n">
        <v>959</v>
      </c>
      <c r="B960" s="15" t="n">
        <v>45965</v>
      </c>
      <c r="C960" s="11" t="n">
        <v>3</v>
      </c>
      <c r="D960" s="11" t="n">
        <v>6</v>
      </c>
      <c r="E960" s="11" t="n">
        <v>5</v>
      </c>
      <c r="F960" s="11" t="n">
        <v>7</v>
      </c>
      <c r="G960" s="11" t="n">
        <v>1</v>
      </c>
      <c r="H960" s="13" t="n">
        <v>50</v>
      </c>
      <c r="I960" s="16" t="n">
        <v>0.05</v>
      </c>
      <c r="J960" s="13" t="n">
        <f aca="false">G960*H960</f>
        <v>50</v>
      </c>
      <c r="K960" s="13" t="n">
        <f aca="false">J960*(1-I960)</f>
        <v>47.5</v>
      </c>
    </row>
    <row r="961" customFormat="false" ht="15" hidden="false" customHeight="false" outlineLevel="0" collapsed="false">
      <c r="A961" s="11" t="n">
        <v>960</v>
      </c>
      <c r="B961" s="15" t="n">
        <v>45965</v>
      </c>
      <c r="C961" s="11" t="n">
        <v>4</v>
      </c>
      <c r="D961" s="11" t="n">
        <v>9</v>
      </c>
      <c r="E961" s="11" t="n">
        <v>27</v>
      </c>
      <c r="F961" s="11" t="n">
        <v>1</v>
      </c>
      <c r="G961" s="11" t="n">
        <v>1</v>
      </c>
      <c r="H961" s="13" t="n">
        <v>35</v>
      </c>
      <c r="I961" s="16" t="n">
        <v>0.05</v>
      </c>
      <c r="J961" s="13" t="n">
        <f aca="false">G961*H961</f>
        <v>35</v>
      </c>
      <c r="K961" s="13" t="n">
        <f aca="false">J961*(1-I961)</f>
        <v>33.25</v>
      </c>
    </row>
    <row r="962" customFormat="false" ht="15" hidden="false" customHeight="false" outlineLevel="0" collapsed="false">
      <c r="A962" s="11" t="n">
        <v>961</v>
      </c>
      <c r="B962" s="15" t="n">
        <v>45966</v>
      </c>
      <c r="C962" s="11" t="n">
        <v>2</v>
      </c>
      <c r="D962" s="11" t="n">
        <v>5</v>
      </c>
      <c r="E962" s="11" t="n">
        <v>23</v>
      </c>
      <c r="F962" s="11" t="n">
        <v>7</v>
      </c>
      <c r="G962" s="11" t="n">
        <v>1</v>
      </c>
      <c r="H962" s="13" t="n">
        <v>50</v>
      </c>
      <c r="I962" s="16" t="n">
        <v>0.1</v>
      </c>
      <c r="J962" s="13" t="n">
        <f aca="false">G962*H962</f>
        <v>50</v>
      </c>
      <c r="K962" s="13" t="n">
        <f aca="false">J962*(1-I962)</f>
        <v>45</v>
      </c>
    </row>
    <row r="963" customFormat="false" ht="15" hidden="false" customHeight="false" outlineLevel="0" collapsed="false">
      <c r="A963" s="11" t="n">
        <v>962</v>
      </c>
      <c r="B963" s="15" t="n">
        <v>45966</v>
      </c>
      <c r="C963" s="11" t="n">
        <v>2</v>
      </c>
      <c r="D963" s="11" t="n">
        <v>4</v>
      </c>
      <c r="E963" s="11" t="n">
        <v>58</v>
      </c>
      <c r="F963" s="11" t="n">
        <v>4</v>
      </c>
      <c r="G963" s="11" t="n">
        <v>2</v>
      </c>
      <c r="H963" s="13" t="n">
        <v>55</v>
      </c>
      <c r="I963" s="16" t="n">
        <v>0</v>
      </c>
      <c r="J963" s="13" t="n">
        <f aca="false">G963*H963</f>
        <v>110</v>
      </c>
      <c r="K963" s="13" t="n">
        <f aca="false">J963*(1-I963)</f>
        <v>110</v>
      </c>
    </row>
    <row r="964" customFormat="false" ht="15" hidden="false" customHeight="false" outlineLevel="0" collapsed="false">
      <c r="A964" s="11" t="n">
        <v>963</v>
      </c>
      <c r="B964" s="15" t="n">
        <v>45966</v>
      </c>
      <c r="C964" s="11" t="n">
        <v>4</v>
      </c>
      <c r="D964" s="11" t="n">
        <v>8</v>
      </c>
      <c r="E964" s="11" t="n">
        <v>60</v>
      </c>
      <c r="F964" s="11" t="n">
        <v>3</v>
      </c>
      <c r="G964" s="11" t="n">
        <v>1</v>
      </c>
      <c r="H964" s="13" t="n">
        <v>38</v>
      </c>
      <c r="I964" s="16" t="n">
        <v>0</v>
      </c>
      <c r="J964" s="13" t="n">
        <f aca="false">G964*H964</f>
        <v>38</v>
      </c>
      <c r="K964" s="13" t="n">
        <f aca="false">J964*(1-I964)</f>
        <v>38</v>
      </c>
    </row>
    <row r="965" customFormat="false" ht="15" hidden="false" customHeight="false" outlineLevel="0" collapsed="false">
      <c r="A965" s="11" t="n">
        <v>964</v>
      </c>
      <c r="B965" s="15" t="n">
        <v>45966</v>
      </c>
      <c r="C965" s="11" t="n">
        <v>4</v>
      </c>
      <c r="D965" s="11" t="n">
        <v>9</v>
      </c>
      <c r="E965" s="11" t="n">
        <v>4</v>
      </c>
      <c r="F965" s="11" t="n">
        <v>10</v>
      </c>
      <c r="G965" s="11" t="n">
        <v>3</v>
      </c>
      <c r="H965" s="13" t="n">
        <v>70</v>
      </c>
      <c r="I965" s="16" t="n">
        <v>0</v>
      </c>
      <c r="J965" s="13" t="n">
        <f aca="false">G965*H965</f>
        <v>210</v>
      </c>
      <c r="K965" s="13" t="n">
        <f aca="false">J965*(1-I965)</f>
        <v>210</v>
      </c>
    </row>
    <row r="966" customFormat="false" ht="15" hidden="false" customHeight="false" outlineLevel="0" collapsed="false">
      <c r="A966" s="11" t="n">
        <v>965</v>
      </c>
      <c r="B966" s="15" t="n">
        <v>45967</v>
      </c>
      <c r="C966" s="11" t="n">
        <v>1</v>
      </c>
      <c r="D966" s="11" t="n">
        <v>3</v>
      </c>
      <c r="E966" s="11" t="n">
        <v>6</v>
      </c>
      <c r="F966" s="11" t="n">
        <v>6</v>
      </c>
      <c r="G966" s="11" t="n">
        <v>1</v>
      </c>
      <c r="H966" s="13" t="n">
        <v>62</v>
      </c>
      <c r="I966" s="16" t="n">
        <v>0</v>
      </c>
      <c r="J966" s="13" t="n">
        <f aca="false">G966*H966</f>
        <v>62</v>
      </c>
      <c r="K966" s="13" t="n">
        <f aca="false">J966*(1-I966)</f>
        <v>62</v>
      </c>
    </row>
    <row r="967" customFormat="false" ht="15" hidden="false" customHeight="false" outlineLevel="0" collapsed="false">
      <c r="A967" s="11" t="n">
        <v>966</v>
      </c>
      <c r="B967" s="15" t="n">
        <v>45967</v>
      </c>
      <c r="C967" s="11" t="n">
        <v>5</v>
      </c>
      <c r="D967" s="11" t="n">
        <v>10</v>
      </c>
      <c r="E967" s="11" t="n">
        <v>54</v>
      </c>
      <c r="F967" s="11" t="n">
        <v>13</v>
      </c>
      <c r="G967" s="11" t="n">
        <v>2</v>
      </c>
      <c r="H967" s="13" t="n">
        <v>32</v>
      </c>
      <c r="I967" s="16" t="n">
        <v>0</v>
      </c>
      <c r="J967" s="13" t="n">
        <f aca="false">G967*H967</f>
        <v>64</v>
      </c>
      <c r="K967" s="13" t="n">
        <f aca="false">J967*(1-I967)</f>
        <v>64</v>
      </c>
    </row>
    <row r="968" customFormat="false" ht="15" hidden="false" customHeight="false" outlineLevel="0" collapsed="false">
      <c r="A968" s="11" t="n">
        <v>967</v>
      </c>
      <c r="B968" s="15" t="n">
        <v>45967</v>
      </c>
      <c r="C968" s="11" t="n">
        <v>1</v>
      </c>
      <c r="D968" s="11" t="n">
        <v>2</v>
      </c>
      <c r="E968" s="11" t="n">
        <v>30</v>
      </c>
      <c r="F968" s="11" t="n">
        <v>9</v>
      </c>
      <c r="G968" s="11" t="n">
        <v>3</v>
      </c>
      <c r="H968" s="13" t="n">
        <v>40</v>
      </c>
      <c r="I968" s="16" t="n">
        <v>0</v>
      </c>
      <c r="J968" s="13" t="n">
        <f aca="false">G968*H968</f>
        <v>120</v>
      </c>
      <c r="K968" s="13" t="n">
        <f aca="false">J968*(1-I968)</f>
        <v>120</v>
      </c>
    </row>
    <row r="969" customFormat="false" ht="15" hidden="false" customHeight="false" outlineLevel="0" collapsed="false">
      <c r="A969" s="11" t="n">
        <v>968</v>
      </c>
      <c r="B969" s="15" t="n">
        <v>45967</v>
      </c>
      <c r="C969" s="11" t="n">
        <v>3</v>
      </c>
      <c r="D969" s="11" t="n">
        <v>7</v>
      </c>
      <c r="E969" s="11" t="n">
        <v>11</v>
      </c>
      <c r="F969" s="11" t="n">
        <v>11</v>
      </c>
      <c r="G969" s="11" t="n">
        <v>4</v>
      </c>
      <c r="H969" s="13" t="n">
        <v>72</v>
      </c>
      <c r="I969" s="16" t="n">
        <v>0</v>
      </c>
      <c r="J969" s="13" t="n">
        <f aca="false">G969*H969</f>
        <v>288</v>
      </c>
      <c r="K969" s="13" t="n">
        <f aca="false">J969*(1-I969)</f>
        <v>288</v>
      </c>
    </row>
    <row r="970" customFormat="false" ht="15" hidden="false" customHeight="false" outlineLevel="0" collapsed="false">
      <c r="A970" s="11" t="n">
        <v>969</v>
      </c>
      <c r="B970" s="15" t="n">
        <v>45967</v>
      </c>
      <c r="C970" s="11" t="n">
        <v>1</v>
      </c>
      <c r="D970" s="11" t="n">
        <v>1</v>
      </c>
      <c r="E970" s="11" t="n">
        <v>41</v>
      </c>
      <c r="F970" s="11" t="n">
        <v>15</v>
      </c>
      <c r="G970" s="11" t="n">
        <v>2</v>
      </c>
      <c r="H970" s="13" t="n">
        <v>65</v>
      </c>
      <c r="I970" s="16" t="n">
        <v>0</v>
      </c>
      <c r="J970" s="13" t="n">
        <f aca="false">G970*H970</f>
        <v>130</v>
      </c>
      <c r="K970" s="13" t="n">
        <f aca="false">J970*(1-I970)</f>
        <v>130</v>
      </c>
    </row>
    <row r="971" customFormat="false" ht="15" hidden="false" customHeight="false" outlineLevel="0" collapsed="false">
      <c r="A971" s="11" t="n">
        <v>970</v>
      </c>
      <c r="B971" s="15" t="n">
        <v>45967</v>
      </c>
      <c r="C971" s="11" t="n">
        <v>4</v>
      </c>
      <c r="D971" s="11" t="n">
        <v>8</v>
      </c>
      <c r="E971" s="11" t="n">
        <v>12</v>
      </c>
      <c r="F971" s="11" t="n">
        <v>10</v>
      </c>
      <c r="G971" s="11" t="n">
        <v>1</v>
      </c>
      <c r="H971" s="13" t="n">
        <v>70</v>
      </c>
      <c r="I971" s="16" t="n">
        <v>0</v>
      </c>
      <c r="J971" s="13" t="n">
        <f aca="false">G971*H971</f>
        <v>70</v>
      </c>
      <c r="K971" s="13" t="n">
        <f aca="false">J971*(1-I971)</f>
        <v>70</v>
      </c>
    </row>
    <row r="972" customFormat="false" ht="15" hidden="false" customHeight="false" outlineLevel="0" collapsed="false">
      <c r="A972" s="11" t="n">
        <v>971</v>
      </c>
      <c r="B972" s="15" t="n">
        <v>45967</v>
      </c>
      <c r="C972" s="11" t="n">
        <v>1</v>
      </c>
      <c r="D972" s="11" t="n">
        <v>3</v>
      </c>
      <c r="E972" s="11" t="n">
        <v>12</v>
      </c>
      <c r="F972" s="11" t="n">
        <v>7</v>
      </c>
      <c r="G972" s="11" t="n">
        <v>1</v>
      </c>
      <c r="H972" s="13" t="n">
        <v>50</v>
      </c>
      <c r="I972" s="16" t="n">
        <v>0.1</v>
      </c>
      <c r="J972" s="13" t="n">
        <f aca="false">G972*H972</f>
        <v>50</v>
      </c>
      <c r="K972" s="13" t="n">
        <f aca="false">J972*(1-I972)</f>
        <v>45</v>
      </c>
    </row>
    <row r="973" customFormat="false" ht="15" hidden="false" customHeight="false" outlineLevel="0" collapsed="false">
      <c r="A973" s="11" t="n">
        <v>972</v>
      </c>
      <c r="B973" s="15" t="n">
        <v>45968</v>
      </c>
      <c r="C973" s="11" t="n">
        <v>1</v>
      </c>
      <c r="D973" s="11" t="n">
        <v>2</v>
      </c>
      <c r="E973" s="11" t="n">
        <v>12</v>
      </c>
      <c r="F973" s="11" t="n">
        <v>13</v>
      </c>
      <c r="G973" s="11" t="n">
        <v>3</v>
      </c>
      <c r="H973" s="13" t="n">
        <v>32</v>
      </c>
      <c r="I973" s="16" t="n">
        <v>0.1</v>
      </c>
      <c r="J973" s="13" t="n">
        <f aca="false">G973*H973</f>
        <v>96</v>
      </c>
      <c r="K973" s="13" t="n">
        <f aca="false">J973*(1-I973)</f>
        <v>86.4</v>
      </c>
    </row>
    <row r="974" customFormat="false" ht="15" hidden="false" customHeight="false" outlineLevel="0" collapsed="false">
      <c r="A974" s="11" t="n">
        <v>973</v>
      </c>
      <c r="B974" s="15" t="n">
        <v>45969</v>
      </c>
      <c r="C974" s="11" t="n">
        <v>1</v>
      </c>
      <c r="D974" s="11" t="n">
        <v>1</v>
      </c>
      <c r="E974" s="11" t="n">
        <v>26</v>
      </c>
      <c r="F974" s="11" t="n">
        <v>11</v>
      </c>
      <c r="G974" s="11" t="n">
        <v>1</v>
      </c>
      <c r="H974" s="13" t="n">
        <v>72</v>
      </c>
      <c r="I974" s="16" t="n">
        <v>0</v>
      </c>
      <c r="J974" s="13" t="n">
        <f aca="false">G974*H974</f>
        <v>72</v>
      </c>
      <c r="K974" s="13" t="n">
        <f aca="false">J974*(1-I974)</f>
        <v>72</v>
      </c>
    </row>
    <row r="975" customFormat="false" ht="15" hidden="false" customHeight="false" outlineLevel="0" collapsed="false">
      <c r="A975" s="11" t="n">
        <v>974</v>
      </c>
      <c r="B975" s="15" t="n">
        <v>45969</v>
      </c>
      <c r="C975" s="11" t="n">
        <v>3</v>
      </c>
      <c r="D975" s="11" t="n">
        <v>7</v>
      </c>
      <c r="E975" s="11" t="n">
        <v>44</v>
      </c>
      <c r="F975" s="11" t="n">
        <v>5</v>
      </c>
      <c r="G975" s="11" t="n">
        <v>2</v>
      </c>
      <c r="H975" s="13" t="n">
        <v>58</v>
      </c>
      <c r="I975" s="16" t="n">
        <v>0.1</v>
      </c>
      <c r="J975" s="13" t="n">
        <f aca="false">G975*H975</f>
        <v>116</v>
      </c>
      <c r="K975" s="13" t="n">
        <f aca="false">J975*(1-I975)</f>
        <v>104.4</v>
      </c>
    </row>
    <row r="976" customFormat="false" ht="15" hidden="false" customHeight="false" outlineLevel="0" collapsed="false">
      <c r="A976" s="11" t="n">
        <v>975</v>
      </c>
      <c r="B976" s="15" t="n">
        <v>45969</v>
      </c>
      <c r="C976" s="11" t="n">
        <v>1</v>
      </c>
      <c r="D976" s="11" t="n">
        <v>1</v>
      </c>
      <c r="E976" s="11" t="n">
        <v>16</v>
      </c>
      <c r="F976" s="11" t="n">
        <v>18</v>
      </c>
      <c r="G976" s="11" t="n">
        <v>2</v>
      </c>
      <c r="H976" s="13" t="n">
        <v>95</v>
      </c>
      <c r="I976" s="16" t="n">
        <v>0</v>
      </c>
      <c r="J976" s="13" t="n">
        <f aca="false">G976*H976</f>
        <v>190</v>
      </c>
      <c r="K976" s="13" t="n">
        <f aca="false">J976*(1-I976)</f>
        <v>190</v>
      </c>
    </row>
    <row r="977" customFormat="false" ht="15" hidden="false" customHeight="false" outlineLevel="0" collapsed="false">
      <c r="A977" s="11" t="n">
        <v>976</v>
      </c>
      <c r="B977" s="15" t="n">
        <v>45969</v>
      </c>
      <c r="C977" s="11" t="n">
        <v>4</v>
      </c>
      <c r="D977" s="11" t="n">
        <v>8</v>
      </c>
      <c r="E977" s="11" t="n">
        <v>52</v>
      </c>
      <c r="F977" s="11" t="n">
        <v>11</v>
      </c>
      <c r="G977" s="11" t="n">
        <v>1</v>
      </c>
      <c r="H977" s="13" t="n">
        <v>72</v>
      </c>
      <c r="I977" s="16" t="n">
        <v>0</v>
      </c>
      <c r="J977" s="13" t="n">
        <f aca="false">G977*H977</f>
        <v>72</v>
      </c>
      <c r="K977" s="13" t="n">
        <f aca="false">J977*(1-I977)</f>
        <v>72</v>
      </c>
    </row>
    <row r="978" customFormat="false" ht="15" hidden="false" customHeight="false" outlineLevel="0" collapsed="false">
      <c r="A978" s="11" t="n">
        <v>977</v>
      </c>
      <c r="B978" s="15" t="n">
        <v>45969</v>
      </c>
      <c r="C978" s="11" t="n">
        <v>1</v>
      </c>
      <c r="D978" s="11" t="n">
        <v>1</v>
      </c>
      <c r="E978" s="11" t="n">
        <v>60</v>
      </c>
      <c r="F978" s="11" t="n">
        <v>18</v>
      </c>
      <c r="G978" s="11" t="n">
        <v>2</v>
      </c>
      <c r="H978" s="13" t="n">
        <v>95</v>
      </c>
      <c r="I978" s="16" t="n">
        <v>0</v>
      </c>
      <c r="J978" s="13" t="n">
        <f aca="false">G978*H978</f>
        <v>190</v>
      </c>
      <c r="K978" s="13" t="n">
        <f aca="false">J978*(1-I978)</f>
        <v>190</v>
      </c>
    </row>
    <row r="979" customFormat="false" ht="15" hidden="false" customHeight="false" outlineLevel="0" collapsed="false">
      <c r="A979" s="11" t="n">
        <v>978</v>
      </c>
      <c r="B979" s="15" t="n">
        <v>45969</v>
      </c>
      <c r="C979" s="11" t="n">
        <v>1</v>
      </c>
      <c r="D979" s="11" t="n">
        <v>3</v>
      </c>
      <c r="E979" s="11" t="n">
        <v>14</v>
      </c>
      <c r="F979" s="11" t="n">
        <v>16</v>
      </c>
      <c r="G979" s="11" t="n">
        <v>1</v>
      </c>
      <c r="H979" s="13" t="n">
        <v>45</v>
      </c>
      <c r="I979" s="16" t="n">
        <v>0</v>
      </c>
      <c r="J979" s="13" t="n">
        <f aca="false">G979*H979</f>
        <v>45</v>
      </c>
      <c r="K979" s="13" t="n">
        <f aca="false">J979*(1-I979)</f>
        <v>45</v>
      </c>
    </row>
    <row r="980" customFormat="false" ht="15" hidden="false" customHeight="false" outlineLevel="0" collapsed="false">
      <c r="A980" s="11" t="n">
        <v>979</v>
      </c>
      <c r="B980" s="15" t="n">
        <v>45970</v>
      </c>
      <c r="C980" s="11" t="n">
        <v>1</v>
      </c>
      <c r="D980" s="11" t="n">
        <v>2</v>
      </c>
      <c r="E980" s="11" t="n">
        <v>3</v>
      </c>
      <c r="F980" s="11" t="n">
        <v>4</v>
      </c>
      <c r="G980" s="11" t="n">
        <v>2</v>
      </c>
      <c r="H980" s="13" t="n">
        <v>55</v>
      </c>
      <c r="I980" s="16" t="n">
        <v>0</v>
      </c>
      <c r="J980" s="13" t="n">
        <f aca="false">G980*H980</f>
        <v>110</v>
      </c>
      <c r="K980" s="13" t="n">
        <f aca="false">J980*(1-I980)</f>
        <v>110</v>
      </c>
    </row>
    <row r="981" customFormat="false" ht="15" hidden="false" customHeight="false" outlineLevel="0" collapsed="false">
      <c r="A981" s="11" t="n">
        <v>980</v>
      </c>
      <c r="B981" s="15" t="n">
        <v>45970</v>
      </c>
      <c r="C981" s="11" t="n">
        <v>2</v>
      </c>
      <c r="D981" s="11" t="n">
        <v>4</v>
      </c>
      <c r="E981" s="11" t="n">
        <v>6</v>
      </c>
      <c r="F981" s="11" t="n">
        <v>13</v>
      </c>
      <c r="G981" s="11" t="n">
        <v>2</v>
      </c>
      <c r="H981" s="13" t="n">
        <v>32</v>
      </c>
      <c r="I981" s="16" t="n">
        <v>0</v>
      </c>
      <c r="J981" s="13" t="n">
        <f aca="false">G981*H981</f>
        <v>64</v>
      </c>
      <c r="K981" s="13" t="n">
        <f aca="false">J981*(1-I981)</f>
        <v>64</v>
      </c>
    </row>
    <row r="982" customFormat="false" ht="15" hidden="false" customHeight="false" outlineLevel="0" collapsed="false">
      <c r="A982" s="11" t="n">
        <v>981</v>
      </c>
      <c r="B982" s="15" t="n">
        <v>45970</v>
      </c>
      <c r="C982" s="11" t="n">
        <v>3</v>
      </c>
      <c r="D982" s="11" t="n">
        <v>6</v>
      </c>
      <c r="E982" s="11" t="n">
        <v>4</v>
      </c>
      <c r="F982" s="11" t="n">
        <v>6</v>
      </c>
      <c r="G982" s="11" t="n">
        <v>1</v>
      </c>
      <c r="H982" s="13" t="n">
        <v>62</v>
      </c>
      <c r="I982" s="16" t="n">
        <v>0</v>
      </c>
      <c r="J982" s="13" t="n">
        <f aca="false">G982*H982</f>
        <v>62</v>
      </c>
      <c r="K982" s="13" t="n">
        <f aca="false">J982*(1-I982)</f>
        <v>62</v>
      </c>
    </row>
    <row r="983" customFormat="false" ht="15" hidden="false" customHeight="false" outlineLevel="0" collapsed="false">
      <c r="A983" s="11" t="n">
        <v>982</v>
      </c>
      <c r="B983" s="15" t="n">
        <v>45971</v>
      </c>
      <c r="C983" s="11" t="n">
        <v>5</v>
      </c>
      <c r="D983" s="11" t="n">
        <v>10</v>
      </c>
      <c r="E983" s="11" t="n">
        <v>47</v>
      </c>
      <c r="F983" s="11" t="n">
        <v>17</v>
      </c>
      <c r="G983" s="11" t="n">
        <v>2</v>
      </c>
      <c r="H983" s="13" t="n">
        <v>28</v>
      </c>
      <c r="I983" s="16" t="n">
        <v>0</v>
      </c>
      <c r="J983" s="13" t="n">
        <f aca="false">G983*H983</f>
        <v>56</v>
      </c>
      <c r="K983" s="13" t="n">
        <f aca="false">J983*(1-I983)</f>
        <v>56</v>
      </c>
    </row>
    <row r="984" customFormat="false" ht="15" hidden="false" customHeight="false" outlineLevel="0" collapsed="false">
      <c r="A984" s="11" t="n">
        <v>983</v>
      </c>
      <c r="B984" s="15" t="n">
        <v>45971</v>
      </c>
      <c r="C984" s="11" t="n">
        <v>1</v>
      </c>
      <c r="D984" s="11" t="n">
        <v>3</v>
      </c>
      <c r="E984" s="11" t="n">
        <v>33</v>
      </c>
      <c r="F984" s="11" t="n">
        <v>17</v>
      </c>
      <c r="G984" s="11" t="n">
        <v>2</v>
      </c>
      <c r="H984" s="13" t="n">
        <v>28</v>
      </c>
      <c r="I984" s="16" t="n">
        <v>0</v>
      </c>
      <c r="J984" s="13" t="n">
        <f aca="false">G984*H984</f>
        <v>56</v>
      </c>
      <c r="K984" s="13" t="n">
        <f aca="false">J984*(1-I984)</f>
        <v>56</v>
      </c>
    </row>
    <row r="985" customFormat="false" ht="15" hidden="false" customHeight="false" outlineLevel="0" collapsed="false">
      <c r="A985" s="11" t="n">
        <v>984</v>
      </c>
      <c r="B985" s="15" t="n">
        <v>45971</v>
      </c>
      <c r="C985" s="11" t="n">
        <v>1</v>
      </c>
      <c r="D985" s="11" t="n">
        <v>3</v>
      </c>
      <c r="E985" s="11" t="n">
        <v>19</v>
      </c>
      <c r="F985" s="11" t="n">
        <v>15</v>
      </c>
      <c r="G985" s="11" t="n">
        <v>2</v>
      </c>
      <c r="H985" s="13" t="n">
        <v>65</v>
      </c>
      <c r="I985" s="16" t="n">
        <v>0</v>
      </c>
      <c r="J985" s="13" t="n">
        <f aca="false">G985*H985</f>
        <v>130</v>
      </c>
      <c r="K985" s="13" t="n">
        <f aca="false">J985*(1-I985)</f>
        <v>130</v>
      </c>
    </row>
    <row r="986" customFormat="false" ht="15" hidden="false" customHeight="false" outlineLevel="0" collapsed="false">
      <c r="A986" s="11" t="n">
        <v>985</v>
      </c>
      <c r="B986" s="15" t="n">
        <v>45971</v>
      </c>
      <c r="C986" s="11" t="n">
        <v>1</v>
      </c>
      <c r="D986" s="11" t="n">
        <v>3</v>
      </c>
      <c r="E986" s="11" t="n">
        <v>60</v>
      </c>
      <c r="F986" s="11" t="n">
        <v>20</v>
      </c>
      <c r="G986" s="11" t="n">
        <v>2</v>
      </c>
      <c r="H986" s="13" t="n">
        <v>88</v>
      </c>
      <c r="I986" s="16" t="n">
        <v>0</v>
      </c>
      <c r="J986" s="13" t="n">
        <f aca="false">G986*H986</f>
        <v>176</v>
      </c>
      <c r="K986" s="13" t="n">
        <f aca="false">J986*(1-I986)</f>
        <v>176</v>
      </c>
    </row>
    <row r="987" customFormat="false" ht="15" hidden="false" customHeight="false" outlineLevel="0" collapsed="false">
      <c r="A987" s="11" t="n">
        <v>986</v>
      </c>
      <c r="B987" s="15" t="n">
        <v>45971</v>
      </c>
      <c r="C987" s="11" t="n">
        <v>3</v>
      </c>
      <c r="D987" s="11" t="n">
        <v>7</v>
      </c>
      <c r="E987" s="11" t="n">
        <v>15</v>
      </c>
      <c r="F987" s="11" t="n">
        <v>1</v>
      </c>
      <c r="G987" s="11" t="n">
        <v>2</v>
      </c>
      <c r="H987" s="13" t="n">
        <v>35</v>
      </c>
      <c r="I987" s="16" t="n">
        <v>0</v>
      </c>
      <c r="J987" s="13" t="n">
        <f aca="false">G987*H987</f>
        <v>70</v>
      </c>
      <c r="K987" s="13" t="n">
        <f aca="false">J987*(1-I987)</f>
        <v>70</v>
      </c>
    </row>
    <row r="988" customFormat="false" ht="15" hidden="false" customHeight="false" outlineLevel="0" collapsed="false">
      <c r="A988" s="11" t="n">
        <v>987</v>
      </c>
      <c r="B988" s="15" t="n">
        <v>45971</v>
      </c>
      <c r="C988" s="11" t="n">
        <v>5</v>
      </c>
      <c r="D988" s="11" t="n">
        <v>10</v>
      </c>
      <c r="E988" s="11" t="n">
        <v>23</v>
      </c>
      <c r="F988" s="11" t="n">
        <v>4</v>
      </c>
      <c r="G988" s="11" t="n">
        <v>3</v>
      </c>
      <c r="H988" s="13" t="n">
        <v>55</v>
      </c>
      <c r="I988" s="16" t="n">
        <v>0</v>
      </c>
      <c r="J988" s="13" t="n">
        <f aca="false">G988*H988</f>
        <v>165</v>
      </c>
      <c r="K988" s="13" t="n">
        <f aca="false">J988*(1-I988)</f>
        <v>165</v>
      </c>
    </row>
    <row r="989" customFormat="false" ht="15" hidden="false" customHeight="false" outlineLevel="0" collapsed="false">
      <c r="A989" s="11" t="n">
        <v>988</v>
      </c>
      <c r="B989" s="15" t="n">
        <v>45971</v>
      </c>
      <c r="C989" s="11" t="n">
        <v>5</v>
      </c>
      <c r="D989" s="11" t="n">
        <v>10</v>
      </c>
      <c r="E989" s="11" t="n">
        <v>32</v>
      </c>
      <c r="F989" s="11" t="n">
        <v>12</v>
      </c>
      <c r="G989" s="11" t="n">
        <v>1</v>
      </c>
      <c r="H989" s="13" t="n">
        <v>45</v>
      </c>
      <c r="I989" s="16" t="n">
        <v>0</v>
      </c>
      <c r="J989" s="13" t="n">
        <f aca="false">G989*H989</f>
        <v>45</v>
      </c>
      <c r="K989" s="13" t="n">
        <f aca="false">J989*(1-I989)</f>
        <v>45</v>
      </c>
    </row>
    <row r="990" customFormat="false" ht="15" hidden="false" customHeight="false" outlineLevel="0" collapsed="false">
      <c r="A990" s="11" t="n">
        <v>989</v>
      </c>
      <c r="B990" s="15" t="n">
        <v>45972</v>
      </c>
      <c r="C990" s="11" t="n">
        <v>1</v>
      </c>
      <c r="D990" s="11" t="n">
        <v>3</v>
      </c>
      <c r="E990" s="11" t="n">
        <v>45</v>
      </c>
      <c r="F990" s="11" t="n">
        <v>9</v>
      </c>
      <c r="G990" s="11" t="n">
        <v>2</v>
      </c>
      <c r="H990" s="13" t="n">
        <v>40</v>
      </c>
      <c r="I990" s="16" t="n">
        <v>0</v>
      </c>
      <c r="J990" s="13" t="n">
        <f aca="false">G990*H990</f>
        <v>80</v>
      </c>
      <c r="K990" s="13" t="n">
        <f aca="false">J990*(1-I990)</f>
        <v>80</v>
      </c>
    </row>
    <row r="991" customFormat="false" ht="15" hidden="false" customHeight="false" outlineLevel="0" collapsed="false">
      <c r="A991" s="11" t="n">
        <v>990</v>
      </c>
      <c r="B991" s="15" t="n">
        <v>45972</v>
      </c>
      <c r="C991" s="11" t="n">
        <v>4</v>
      </c>
      <c r="D991" s="11" t="n">
        <v>8</v>
      </c>
      <c r="E991" s="11" t="n">
        <v>18</v>
      </c>
      <c r="F991" s="11" t="n">
        <v>5</v>
      </c>
      <c r="G991" s="11" t="n">
        <v>5</v>
      </c>
      <c r="H991" s="13" t="n">
        <v>58</v>
      </c>
      <c r="I991" s="16" t="n">
        <v>0</v>
      </c>
      <c r="J991" s="13" t="n">
        <f aca="false">G991*H991</f>
        <v>290</v>
      </c>
      <c r="K991" s="13" t="n">
        <f aca="false">J991*(1-I991)</f>
        <v>290</v>
      </c>
    </row>
    <row r="992" customFormat="false" ht="15" hidden="false" customHeight="false" outlineLevel="0" collapsed="false">
      <c r="A992" s="11" t="n">
        <v>991</v>
      </c>
      <c r="B992" s="15" t="n">
        <v>45972</v>
      </c>
      <c r="C992" s="11" t="n">
        <v>4</v>
      </c>
      <c r="D992" s="11" t="n">
        <v>9</v>
      </c>
      <c r="E992" s="11" t="n">
        <v>4</v>
      </c>
      <c r="F992" s="11" t="n">
        <v>1</v>
      </c>
      <c r="G992" s="11" t="n">
        <v>1</v>
      </c>
      <c r="H992" s="13" t="n">
        <v>35</v>
      </c>
      <c r="I992" s="16" t="n">
        <v>0</v>
      </c>
      <c r="J992" s="13" t="n">
        <f aca="false">G992*H992</f>
        <v>35</v>
      </c>
      <c r="K992" s="13" t="n">
        <f aca="false">J992*(1-I992)</f>
        <v>35</v>
      </c>
    </row>
    <row r="993" customFormat="false" ht="15" hidden="false" customHeight="false" outlineLevel="0" collapsed="false">
      <c r="A993" s="11" t="n">
        <v>992</v>
      </c>
      <c r="B993" s="15" t="n">
        <v>45972</v>
      </c>
      <c r="C993" s="11" t="n">
        <v>2</v>
      </c>
      <c r="D993" s="11" t="n">
        <v>5</v>
      </c>
      <c r="E993" s="11" t="n">
        <v>30</v>
      </c>
      <c r="F993" s="11" t="n">
        <v>4</v>
      </c>
      <c r="G993" s="11" t="n">
        <v>1</v>
      </c>
      <c r="H993" s="13" t="n">
        <v>55</v>
      </c>
      <c r="I993" s="16" t="n">
        <v>0.05</v>
      </c>
      <c r="J993" s="13" t="n">
        <f aca="false">G993*H993</f>
        <v>55</v>
      </c>
      <c r="K993" s="13" t="n">
        <f aca="false">J993*(1-I993)</f>
        <v>52.25</v>
      </c>
    </row>
    <row r="994" customFormat="false" ht="15" hidden="false" customHeight="false" outlineLevel="0" collapsed="false">
      <c r="A994" s="11" t="n">
        <v>993</v>
      </c>
      <c r="B994" s="15" t="n">
        <v>45972</v>
      </c>
      <c r="C994" s="11" t="n">
        <v>5</v>
      </c>
      <c r="D994" s="11" t="n">
        <v>10</v>
      </c>
      <c r="E994" s="11" t="n">
        <v>39</v>
      </c>
      <c r="F994" s="11" t="n">
        <v>5</v>
      </c>
      <c r="G994" s="11" t="n">
        <v>3</v>
      </c>
      <c r="H994" s="13" t="n">
        <v>58</v>
      </c>
      <c r="I994" s="16" t="n">
        <v>0</v>
      </c>
      <c r="J994" s="13" t="n">
        <f aca="false">G994*H994</f>
        <v>174</v>
      </c>
      <c r="K994" s="13" t="n">
        <f aca="false">J994*(1-I994)</f>
        <v>174</v>
      </c>
    </row>
    <row r="995" customFormat="false" ht="15" hidden="false" customHeight="false" outlineLevel="0" collapsed="false">
      <c r="A995" s="11" t="n">
        <v>994</v>
      </c>
      <c r="B995" s="15" t="n">
        <v>45972</v>
      </c>
      <c r="C995" s="11" t="n">
        <v>4</v>
      </c>
      <c r="D995" s="11" t="n">
        <v>9</v>
      </c>
      <c r="E995" s="11" t="n">
        <v>52</v>
      </c>
      <c r="F995" s="11" t="n">
        <v>8</v>
      </c>
      <c r="G995" s="11" t="n">
        <v>4</v>
      </c>
      <c r="H995" s="13" t="n">
        <v>52</v>
      </c>
      <c r="I995" s="16" t="n">
        <v>0</v>
      </c>
      <c r="J995" s="13" t="n">
        <f aca="false">G995*H995</f>
        <v>208</v>
      </c>
      <c r="K995" s="13" t="n">
        <f aca="false">J995*(1-I995)</f>
        <v>208</v>
      </c>
    </row>
    <row r="996" customFormat="false" ht="15" hidden="false" customHeight="false" outlineLevel="0" collapsed="false">
      <c r="A996" s="11" t="n">
        <v>995</v>
      </c>
      <c r="B996" s="15" t="n">
        <v>45972</v>
      </c>
      <c r="C996" s="11" t="n">
        <v>4</v>
      </c>
      <c r="D996" s="11" t="n">
        <v>8</v>
      </c>
      <c r="E996" s="11" t="n">
        <v>42</v>
      </c>
      <c r="F996" s="11" t="n">
        <v>11</v>
      </c>
      <c r="G996" s="11" t="n">
        <v>1</v>
      </c>
      <c r="H996" s="13" t="n">
        <v>72</v>
      </c>
      <c r="I996" s="16" t="n">
        <v>0</v>
      </c>
      <c r="J996" s="13" t="n">
        <f aca="false">G996*H996</f>
        <v>72</v>
      </c>
      <c r="K996" s="13" t="n">
        <f aca="false">J996*(1-I996)</f>
        <v>72</v>
      </c>
    </row>
    <row r="997" customFormat="false" ht="15" hidden="false" customHeight="false" outlineLevel="0" collapsed="false">
      <c r="A997" s="11" t="n">
        <v>996</v>
      </c>
      <c r="B997" s="15" t="n">
        <v>45973</v>
      </c>
      <c r="C997" s="11" t="n">
        <v>2</v>
      </c>
      <c r="D997" s="11" t="n">
        <v>5</v>
      </c>
      <c r="E997" s="11" t="n">
        <v>14</v>
      </c>
      <c r="F997" s="11" t="n">
        <v>17</v>
      </c>
      <c r="G997" s="11" t="n">
        <v>1</v>
      </c>
      <c r="H997" s="13" t="n">
        <v>28</v>
      </c>
      <c r="I997" s="16" t="n">
        <v>0</v>
      </c>
      <c r="J997" s="13" t="n">
        <f aca="false">G997*H997</f>
        <v>28</v>
      </c>
      <c r="K997" s="13" t="n">
        <f aca="false">J997*(1-I997)</f>
        <v>28</v>
      </c>
    </row>
    <row r="998" customFormat="false" ht="15" hidden="false" customHeight="false" outlineLevel="0" collapsed="false">
      <c r="A998" s="11" t="n">
        <v>997</v>
      </c>
      <c r="B998" s="15" t="n">
        <v>45973</v>
      </c>
      <c r="C998" s="11" t="n">
        <v>4</v>
      </c>
      <c r="D998" s="11" t="n">
        <v>8</v>
      </c>
      <c r="E998" s="11" t="n">
        <v>49</v>
      </c>
      <c r="F998" s="11" t="n">
        <v>11</v>
      </c>
      <c r="G998" s="11" t="n">
        <v>1</v>
      </c>
      <c r="H998" s="13" t="n">
        <v>72</v>
      </c>
      <c r="I998" s="16" t="n">
        <v>0</v>
      </c>
      <c r="J998" s="13" t="n">
        <f aca="false">G998*H998</f>
        <v>72</v>
      </c>
      <c r="K998" s="13" t="n">
        <f aca="false">J998*(1-I998)</f>
        <v>72</v>
      </c>
    </row>
    <row r="999" customFormat="false" ht="15" hidden="false" customHeight="false" outlineLevel="0" collapsed="false">
      <c r="A999" s="11" t="n">
        <v>998</v>
      </c>
      <c r="B999" s="15" t="n">
        <v>45973</v>
      </c>
      <c r="C999" s="11" t="n">
        <v>2</v>
      </c>
      <c r="D999" s="11" t="n">
        <v>4</v>
      </c>
      <c r="E999" s="11" t="n">
        <v>8</v>
      </c>
      <c r="F999" s="11" t="n">
        <v>15</v>
      </c>
      <c r="G999" s="11" t="n">
        <v>1</v>
      </c>
      <c r="H999" s="13" t="n">
        <v>65</v>
      </c>
      <c r="I999" s="16" t="n">
        <v>0</v>
      </c>
      <c r="J999" s="13" t="n">
        <f aca="false">G999*H999</f>
        <v>65</v>
      </c>
      <c r="K999" s="13" t="n">
        <f aca="false">J999*(1-I999)</f>
        <v>65</v>
      </c>
    </row>
    <row r="1000" customFormat="false" ht="15" hidden="false" customHeight="false" outlineLevel="0" collapsed="false">
      <c r="A1000" s="11" t="n">
        <v>999</v>
      </c>
      <c r="B1000" s="15" t="n">
        <v>45973</v>
      </c>
      <c r="C1000" s="11" t="n">
        <v>2</v>
      </c>
      <c r="D1000" s="11" t="n">
        <v>5</v>
      </c>
      <c r="E1000" s="11" t="n">
        <v>43</v>
      </c>
      <c r="F1000" s="11" t="n">
        <v>4</v>
      </c>
      <c r="G1000" s="11" t="n">
        <v>2</v>
      </c>
      <c r="H1000" s="13" t="n">
        <v>55</v>
      </c>
      <c r="I1000" s="16" t="n">
        <v>0</v>
      </c>
      <c r="J1000" s="13" t="n">
        <f aca="false">G1000*H1000</f>
        <v>110</v>
      </c>
      <c r="K1000" s="13" t="n">
        <f aca="false">J1000*(1-I1000)</f>
        <v>110</v>
      </c>
    </row>
    <row r="1001" customFormat="false" ht="15" hidden="false" customHeight="false" outlineLevel="0" collapsed="false">
      <c r="A1001" s="11" t="n">
        <v>1000</v>
      </c>
      <c r="B1001" s="15" t="n">
        <v>45974</v>
      </c>
      <c r="C1001" s="11" t="n">
        <v>1</v>
      </c>
      <c r="D1001" s="11" t="n">
        <v>3</v>
      </c>
      <c r="E1001" s="11" t="n">
        <v>16</v>
      </c>
      <c r="F1001" s="11" t="n">
        <v>19</v>
      </c>
      <c r="G1001" s="11" t="n">
        <v>2</v>
      </c>
      <c r="H1001" s="13" t="n">
        <v>125</v>
      </c>
      <c r="I1001" s="16" t="n">
        <v>0</v>
      </c>
      <c r="J1001" s="13" t="n">
        <f aca="false">G1001*H1001</f>
        <v>250</v>
      </c>
      <c r="K1001" s="13" t="n">
        <f aca="false">J1001*(1-I1001)</f>
        <v>250</v>
      </c>
    </row>
    <row r="1002" customFormat="false" ht="15" hidden="false" customHeight="false" outlineLevel="0" collapsed="false">
      <c r="A1002" s="11" t="n">
        <v>1001</v>
      </c>
      <c r="B1002" s="15" t="n">
        <v>45974</v>
      </c>
      <c r="C1002" s="11" t="n">
        <v>3</v>
      </c>
      <c r="D1002" s="11" t="n">
        <v>7</v>
      </c>
      <c r="E1002" s="11" t="n">
        <v>57</v>
      </c>
      <c r="F1002" s="11" t="n">
        <v>2</v>
      </c>
      <c r="G1002" s="11" t="n">
        <v>1</v>
      </c>
      <c r="H1002" s="13" t="n">
        <v>45</v>
      </c>
      <c r="I1002" s="16" t="n">
        <v>0</v>
      </c>
      <c r="J1002" s="13" t="n">
        <f aca="false">G1002*H1002</f>
        <v>45</v>
      </c>
      <c r="K1002" s="13" t="n">
        <f aca="false">J1002*(1-I1002)</f>
        <v>45</v>
      </c>
    </row>
    <row r="1003" customFormat="false" ht="15" hidden="false" customHeight="false" outlineLevel="0" collapsed="false">
      <c r="A1003" s="11" t="n">
        <v>1002</v>
      </c>
      <c r="B1003" s="15" t="n">
        <v>45974</v>
      </c>
      <c r="C1003" s="11" t="n">
        <v>5</v>
      </c>
      <c r="D1003" s="11" t="n">
        <v>10</v>
      </c>
      <c r="E1003" s="11" t="n">
        <v>16</v>
      </c>
      <c r="F1003" s="11" t="n">
        <v>4</v>
      </c>
      <c r="G1003" s="11" t="n">
        <v>2</v>
      </c>
      <c r="H1003" s="13" t="n">
        <v>55</v>
      </c>
      <c r="I1003" s="16" t="n">
        <v>0</v>
      </c>
      <c r="J1003" s="13" t="n">
        <f aca="false">G1003*H1003</f>
        <v>110</v>
      </c>
      <c r="K1003" s="13" t="n">
        <f aca="false">J1003*(1-I1003)</f>
        <v>110</v>
      </c>
    </row>
    <row r="1004" customFormat="false" ht="15" hidden="false" customHeight="false" outlineLevel="0" collapsed="false">
      <c r="A1004" s="11" t="n">
        <v>1003</v>
      </c>
      <c r="B1004" s="15" t="n">
        <v>45974</v>
      </c>
      <c r="C1004" s="11" t="n">
        <v>3</v>
      </c>
      <c r="D1004" s="11" t="n">
        <v>6</v>
      </c>
      <c r="E1004" s="11" t="n">
        <v>27</v>
      </c>
      <c r="F1004" s="11" t="n">
        <v>8</v>
      </c>
      <c r="G1004" s="11" t="n">
        <v>1</v>
      </c>
      <c r="H1004" s="13" t="n">
        <v>52</v>
      </c>
      <c r="I1004" s="16" t="n">
        <v>0</v>
      </c>
      <c r="J1004" s="13" t="n">
        <f aca="false">G1004*H1004</f>
        <v>52</v>
      </c>
      <c r="K1004" s="13" t="n">
        <f aca="false">J1004*(1-I1004)</f>
        <v>52</v>
      </c>
    </row>
    <row r="1005" customFormat="false" ht="15" hidden="false" customHeight="false" outlineLevel="0" collapsed="false">
      <c r="A1005" s="11" t="n">
        <v>1004</v>
      </c>
      <c r="B1005" s="15" t="n">
        <v>45974</v>
      </c>
      <c r="C1005" s="11" t="n">
        <v>1</v>
      </c>
      <c r="D1005" s="11" t="n">
        <v>2</v>
      </c>
      <c r="E1005" s="11" t="n">
        <v>8</v>
      </c>
      <c r="F1005" s="11" t="n">
        <v>5</v>
      </c>
      <c r="G1005" s="11" t="n">
        <v>1</v>
      </c>
      <c r="H1005" s="13" t="n">
        <v>58</v>
      </c>
      <c r="I1005" s="16" t="n">
        <v>0</v>
      </c>
      <c r="J1005" s="13" t="n">
        <f aca="false">G1005*H1005</f>
        <v>58</v>
      </c>
      <c r="K1005" s="13" t="n">
        <f aca="false">J1005*(1-I1005)</f>
        <v>58</v>
      </c>
    </row>
    <row r="1006" customFormat="false" ht="15" hidden="false" customHeight="false" outlineLevel="0" collapsed="false">
      <c r="A1006" s="11" t="n">
        <v>1005</v>
      </c>
      <c r="B1006" s="15" t="n">
        <v>45975</v>
      </c>
      <c r="C1006" s="11" t="n">
        <v>2</v>
      </c>
      <c r="D1006" s="11" t="n">
        <v>5</v>
      </c>
      <c r="E1006" s="11" t="n">
        <v>53</v>
      </c>
      <c r="F1006" s="11" t="n">
        <v>1</v>
      </c>
      <c r="G1006" s="11" t="n">
        <v>1</v>
      </c>
      <c r="H1006" s="13" t="n">
        <v>35</v>
      </c>
      <c r="I1006" s="16" t="n">
        <v>0</v>
      </c>
      <c r="J1006" s="13" t="n">
        <f aca="false">G1006*H1006</f>
        <v>35</v>
      </c>
      <c r="K1006" s="13" t="n">
        <f aca="false">J1006*(1-I1006)</f>
        <v>35</v>
      </c>
    </row>
    <row r="1007" customFormat="false" ht="15" hidden="false" customHeight="false" outlineLevel="0" collapsed="false">
      <c r="A1007" s="11" t="n">
        <v>1006</v>
      </c>
      <c r="B1007" s="15" t="n">
        <v>45975</v>
      </c>
      <c r="C1007" s="11" t="n">
        <v>2</v>
      </c>
      <c r="D1007" s="11" t="n">
        <v>4</v>
      </c>
      <c r="E1007" s="11" t="n">
        <v>56</v>
      </c>
      <c r="F1007" s="11" t="n">
        <v>8</v>
      </c>
      <c r="G1007" s="11" t="n">
        <v>2</v>
      </c>
      <c r="H1007" s="13" t="n">
        <v>52</v>
      </c>
      <c r="I1007" s="16" t="n">
        <v>0.05</v>
      </c>
      <c r="J1007" s="13" t="n">
        <f aca="false">G1007*H1007</f>
        <v>104</v>
      </c>
      <c r="K1007" s="13" t="n">
        <f aca="false">J1007*(1-I1007)</f>
        <v>98.8</v>
      </c>
    </row>
    <row r="1008" customFormat="false" ht="15" hidden="false" customHeight="false" outlineLevel="0" collapsed="false">
      <c r="A1008" s="11" t="n">
        <v>1007</v>
      </c>
      <c r="B1008" s="15" t="n">
        <v>45975</v>
      </c>
      <c r="C1008" s="11" t="n">
        <v>2</v>
      </c>
      <c r="D1008" s="11" t="n">
        <v>4</v>
      </c>
      <c r="E1008" s="11" t="n">
        <v>41</v>
      </c>
      <c r="F1008" s="11" t="n">
        <v>7</v>
      </c>
      <c r="G1008" s="11" t="n">
        <v>2</v>
      </c>
      <c r="H1008" s="13" t="n">
        <v>50</v>
      </c>
      <c r="I1008" s="16" t="n">
        <v>0</v>
      </c>
      <c r="J1008" s="13" t="n">
        <f aca="false">G1008*H1008</f>
        <v>100</v>
      </c>
      <c r="K1008" s="13" t="n">
        <f aca="false">J1008*(1-I1008)</f>
        <v>100</v>
      </c>
    </row>
    <row r="1009" customFormat="false" ht="15" hidden="false" customHeight="false" outlineLevel="0" collapsed="false">
      <c r="A1009" s="11" t="n">
        <v>1008</v>
      </c>
      <c r="B1009" s="15" t="n">
        <v>45976</v>
      </c>
      <c r="C1009" s="11" t="n">
        <v>1</v>
      </c>
      <c r="D1009" s="11" t="n">
        <v>1</v>
      </c>
      <c r="E1009" s="11" t="n">
        <v>54</v>
      </c>
      <c r="F1009" s="11" t="n">
        <v>9</v>
      </c>
      <c r="G1009" s="11" t="n">
        <v>2</v>
      </c>
      <c r="H1009" s="13" t="n">
        <v>40</v>
      </c>
      <c r="I1009" s="16" t="n">
        <v>0</v>
      </c>
      <c r="J1009" s="13" t="n">
        <f aca="false">G1009*H1009</f>
        <v>80</v>
      </c>
      <c r="K1009" s="13" t="n">
        <f aca="false">J1009*(1-I1009)</f>
        <v>80</v>
      </c>
    </row>
    <row r="1010" customFormat="false" ht="15" hidden="false" customHeight="false" outlineLevel="0" collapsed="false">
      <c r="A1010" s="11" t="n">
        <v>1009</v>
      </c>
      <c r="B1010" s="15" t="n">
        <v>45976</v>
      </c>
      <c r="C1010" s="11" t="n">
        <v>2</v>
      </c>
      <c r="D1010" s="11" t="n">
        <v>4</v>
      </c>
      <c r="E1010" s="11" t="n">
        <v>34</v>
      </c>
      <c r="F1010" s="11" t="n">
        <v>12</v>
      </c>
      <c r="G1010" s="11" t="n">
        <v>2</v>
      </c>
      <c r="H1010" s="13" t="n">
        <v>45</v>
      </c>
      <c r="I1010" s="16" t="n">
        <v>0</v>
      </c>
      <c r="J1010" s="13" t="n">
        <f aca="false">G1010*H1010</f>
        <v>90</v>
      </c>
      <c r="K1010" s="13" t="n">
        <f aca="false">J1010*(1-I1010)</f>
        <v>90</v>
      </c>
    </row>
    <row r="1011" customFormat="false" ht="15" hidden="false" customHeight="false" outlineLevel="0" collapsed="false">
      <c r="A1011" s="11" t="n">
        <v>1010</v>
      </c>
      <c r="B1011" s="15" t="n">
        <v>45976</v>
      </c>
      <c r="C1011" s="11" t="n">
        <v>3</v>
      </c>
      <c r="D1011" s="11" t="n">
        <v>7</v>
      </c>
      <c r="E1011" s="11" t="n">
        <v>1</v>
      </c>
      <c r="F1011" s="11" t="n">
        <v>7</v>
      </c>
      <c r="G1011" s="11" t="n">
        <v>1</v>
      </c>
      <c r="H1011" s="13" t="n">
        <v>50</v>
      </c>
      <c r="I1011" s="16" t="n">
        <v>0</v>
      </c>
      <c r="J1011" s="13" t="n">
        <f aca="false">G1011*H1011</f>
        <v>50</v>
      </c>
      <c r="K1011" s="13" t="n">
        <f aca="false">J1011*(1-I1011)</f>
        <v>50</v>
      </c>
    </row>
    <row r="1012" customFormat="false" ht="15" hidden="false" customHeight="false" outlineLevel="0" collapsed="false">
      <c r="A1012" s="11" t="n">
        <v>1011</v>
      </c>
      <c r="B1012" s="15" t="n">
        <v>45976</v>
      </c>
      <c r="C1012" s="11" t="n">
        <v>4</v>
      </c>
      <c r="D1012" s="11" t="n">
        <v>8</v>
      </c>
      <c r="E1012" s="11" t="n">
        <v>50</v>
      </c>
      <c r="F1012" s="11" t="n">
        <v>8</v>
      </c>
      <c r="G1012" s="11" t="n">
        <v>1</v>
      </c>
      <c r="H1012" s="13" t="n">
        <v>52</v>
      </c>
      <c r="I1012" s="16" t="n">
        <v>0</v>
      </c>
      <c r="J1012" s="13" t="n">
        <f aca="false">G1012*H1012</f>
        <v>52</v>
      </c>
      <c r="K1012" s="13" t="n">
        <f aca="false">J1012*(1-I1012)</f>
        <v>52</v>
      </c>
    </row>
    <row r="1013" customFormat="false" ht="15" hidden="false" customHeight="false" outlineLevel="0" collapsed="false">
      <c r="A1013" s="11" t="n">
        <v>1012</v>
      </c>
      <c r="B1013" s="15" t="n">
        <v>45976</v>
      </c>
      <c r="C1013" s="11" t="n">
        <v>5</v>
      </c>
      <c r="D1013" s="11" t="n">
        <v>10</v>
      </c>
      <c r="E1013" s="11" t="n">
        <v>38</v>
      </c>
      <c r="F1013" s="11" t="n">
        <v>1</v>
      </c>
      <c r="G1013" s="11" t="n">
        <v>3</v>
      </c>
      <c r="H1013" s="13" t="n">
        <v>35</v>
      </c>
      <c r="I1013" s="16" t="n">
        <v>0.05</v>
      </c>
      <c r="J1013" s="13" t="n">
        <f aca="false">G1013*H1013</f>
        <v>105</v>
      </c>
      <c r="K1013" s="13" t="n">
        <f aca="false">J1013*(1-I1013)</f>
        <v>99.75</v>
      </c>
    </row>
    <row r="1014" customFormat="false" ht="15" hidden="false" customHeight="false" outlineLevel="0" collapsed="false">
      <c r="A1014" s="11" t="n">
        <v>1013</v>
      </c>
      <c r="B1014" s="15" t="n">
        <v>45976</v>
      </c>
      <c r="C1014" s="11" t="n">
        <v>1</v>
      </c>
      <c r="D1014" s="11" t="n">
        <v>3</v>
      </c>
      <c r="E1014" s="11" t="n">
        <v>12</v>
      </c>
      <c r="F1014" s="11" t="n">
        <v>3</v>
      </c>
      <c r="G1014" s="11" t="n">
        <v>1</v>
      </c>
      <c r="H1014" s="13" t="n">
        <v>38</v>
      </c>
      <c r="I1014" s="16" t="n">
        <v>0</v>
      </c>
      <c r="J1014" s="13" t="n">
        <f aca="false">G1014*H1014</f>
        <v>38</v>
      </c>
      <c r="K1014" s="13" t="n">
        <f aca="false">J1014*(1-I1014)</f>
        <v>38</v>
      </c>
    </row>
    <row r="1015" customFormat="false" ht="15" hidden="false" customHeight="false" outlineLevel="0" collapsed="false">
      <c r="A1015" s="11" t="n">
        <v>1014</v>
      </c>
      <c r="B1015" s="15" t="n">
        <v>45976</v>
      </c>
      <c r="C1015" s="11" t="n">
        <v>4</v>
      </c>
      <c r="D1015" s="11" t="n">
        <v>9</v>
      </c>
      <c r="E1015" s="11" t="n">
        <v>49</v>
      </c>
      <c r="F1015" s="11" t="n">
        <v>19</v>
      </c>
      <c r="G1015" s="11" t="n">
        <v>1</v>
      </c>
      <c r="H1015" s="13" t="n">
        <v>125</v>
      </c>
      <c r="I1015" s="16" t="n">
        <v>0</v>
      </c>
      <c r="J1015" s="13" t="n">
        <f aca="false">G1015*H1015</f>
        <v>125</v>
      </c>
      <c r="K1015" s="13" t="n">
        <f aca="false">J1015*(1-I1015)</f>
        <v>125</v>
      </c>
    </row>
    <row r="1016" customFormat="false" ht="15" hidden="false" customHeight="false" outlineLevel="0" collapsed="false">
      <c r="A1016" s="11" t="n">
        <v>1015</v>
      </c>
      <c r="B1016" s="15" t="n">
        <v>45976</v>
      </c>
      <c r="C1016" s="11" t="n">
        <v>3</v>
      </c>
      <c r="D1016" s="11" t="n">
        <v>7</v>
      </c>
      <c r="E1016" s="11" t="n">
        <v>58</v>
      </c>
      <c r="F1016" s="11" t="n">
        <v>7</v>
      </c>
      <c r="G1016" s="11" t="n">
        <v>1</v>
      </c>
      <c r="H1016" s="13" t="n">
        <v>50</v>
      </c>
      <c r="I1016" s="16" t="n">
        <v>0</v>
      </c>
      <c r="J1016" s="13" t="n">
        <f aca="false">G1016*H1016</f>
        <v>50</v>
      </c>
      <c r="K1016" s="13" t="n">
        <f aca="false">J1016*(1-I1016)</f>
        <v>50</v>
      </c>
    </row>
    <row r="1017" customFormat="false" ht="15" hidden="false" customHeight="false" outlineLevel="0" collapsed="false">
      <c r="A1017" s="11" t="n">
        <v>1016</v>
      </c>
      <c r="B1017" s="15" t="n">
        <v>45976</v>
      </c>
      <c r="C1017" s="11" t="n">
        <v>1</v>
      </c>
      <c r="D1017" s="11" t="n">
        <v>1</v>
      </c>
      <c r="E1017" s="11" t="n">
        <v>33</v>
      </c>
      <c r="F1017" s="11" t="n">
        <v>9</v>
      </c>
      <c r="G1017" s="11" t="n">
        <v>1</v>
      </c>
      <c r="H1017" s="13" t="n">
        <v>40</v>
      </c>
      <c r="I1017" s="16" t="n">
        <v>0</v>
      </c>
      <c r="J1017" s="13" t="n">
        <f aca="false">G1017*H1017</f>
        <v>40</v>
      </c>
      <c r="K1017" s="13" t="n">
        <f aca="false">J1017*(1-I1017)</f>
        <v>40</v>
      </c>
    </row>
    <row r="1018" customFormat="false" ht="15" hidden="false" customHeight="false" outlineLevel="0" collapsed="false">
      <c r="A1018" s="11" t="n">
        <v>1017</v>
      </c>
      <c r="B1018" s="15" t="n">
        <v>45977</v>
      </c>
      <c r="C1018" s="11" t="n">
        <v>1</v>
      </c>
      <c r="D1018" s="11" t="n">
        <v>1</v>
      </c>
      <c r="E1018" s="11" t="n">
        <v>37</v>
      </c>
      <c r="F1018" s="11" t="n">
        <v>10</v>
      </c>
      <c r="G1018" s="11" t="n">
        <v>1</v>
      </c>
      <c r="H1018" s="13" t="n">
        <v>70</v>
      </c>
      <c r="I1018" s="16" t="n">
        <v>0</v>
      </c>
      <c r="J1018" s="13" t="n">
        <f aca="false">G1018*H1018</f>
        <v>70</v>
      </c>
      <c r="K1018" s="13" t="n">
        <f aca="false">J1018*(1-I1018)</f>
        <v>70</v>
      </c>
    </row>
    <row r="1019" customFormat="false" ht="15" hidden="false" customHeight="false" outlineLevel="0" collapsed="false">
      <c r="A1019" s="11" t="n">
        <v>1018</v>
      </c>
      <c r="B1019" s="15" t="n">
        <v>45977</v>
      </c>
      <c r="C1019" s="11" t="n">
        <v>4</v>
      </c>
      <c r="D1019" s="11" t="n">
        <v>9</v>
      </c>
      <c r="E1019" s="11" t="n">
        <v>21</v>
      </c>
      <c r="F1019" s="11" t="n">
        <v>10</v>
      </c>
      <c r="G1019" s="11" t="n">
        <v>2</v>
      </c>
      <c r="H1019" s="13" t="n">
        <v>70</v>
      </c>
      <c r="I1019" s="16" t="n">
        <v>0.1</v>
      </c>
      <c r="J1019" s="13" t="n">
        <f aca="false">G1019*H1019</f>
        <v>140</v>
      </c>
      <c r="K1019" s="13" t="n">
        <f aca="false">J1019*(1-I1019)</f>
        <v>126</v>
      </c>
    </row>
    <row r="1020" customFormat="false" ht="15" hidden="false" customHeight="false" outlineLevel="0" collapsed="false">
      <c r="A1020" s="11" t="n">
        <v>1019</v>
      </c>
      <c r="B1020" s="15" t="n">
        <v>45977</v>
      </c>
      <c r="C1020" s="11" t="n">
        <v>4</v>
      </c>
      <c r="D1020" s="11" t="n">
        <v>8</v>
      </c>
      <c r="E1020" s="11" t="n">
        <v>29</v>
      </c>
      <c r="F1020" s="11" t="n">
        <v>11</v>
      </c>
      <c r="G1020" s="11" t="n">
        <v>1</v>
      </c>
      <c r="H1020" s="13" t="n">
        <v>72</v>
      </c>
      <c r="I1020" s="16" t="n">
        <v>0</v>
      </c>
      <c r="J1020" s="13" t="n">
        <f aca="false">G1020*H1020</f>
        <v>72</v>
      </c>
      <c r="K1020" s="13" t="n">
        <f aca="false">J1020*(1-I1020)</f>
        <v>72</v>
      </c>
    </row>
    <row r="1021" customFormat="false" ht="15" hidden="false" customHeight="false" outlineLevel="0" collapsed="false">
      <c r="A1021" s="11" t="n">
        <v>1020</v>
      </c>
      <c r="B1021" s="15" t="n">
        <v>45977</v>
      </c>
      <c r="C1021" s="11" t="n">
        <v>4</v>
      </c>
      <c r="D1021" s="11" t="n">
        <v>9</v>
      </c>
      <c r="E1021" s="11" t="n">
        <v>57</v>
      </c>
      <c r="F1021" s="11" t="n">
        <v>8</v>
      </c>
      <c r="G1021" s="11" t="n">
        <v>1</v>
      </c>
      <c r="H1021" s="13" t="n">
        <v>52</v>
      </c>
      <c r="I1021" s="16" t="n">
        <v>0</v>
      </c>
      <c r="J1021" s="13" t="n">
        <f aca="false">G1021*H1021</f>
        <v>52</v>
      </c>
      <c r="K1021" s="13" t="n">
        <f aca="false">J1021*(1-I1021)</f>
        <v>52</v>
      </c>
    </row>
    <row r="1022" customFormat="false" ht="15" hidden="false" customHeight="false" outlineLevel="0" collapsed="false">
      <c r="A1022" s="11" t="n">
        <v>1021</v>
      </c>
      <c r="B1022" s="15" t="n">
        <v>45977</v>
      </c>
      <c r="C1022" s="11" t="n">
        <v>1</v>
      </c>
      <c r="D1022" s="11" t="n">
        <v>3</v>
      </c>
      <c r="E1022" s="11" t="n">
        <v>60</v>
      </c>
      <c r="F1022" s="11" t="n">
        <v>12</v>
      </c>
      <c r="G1022" s="11" t="n">
        <v>1</v>
      </c>
      <c r="H1022" s="13" t="n">
        <v>45</v>
      </c>
      <c r="I1022" s="16" t="n">
        <v>0</v>
      </c>
      <c r="J1022" s="13" t="n">
        <f aca="false">G1022*H1022</f>
        <v>45</v>
      </c>
      <c r="K1022" s="13" t="n">
        <f aca="false">J1022*(1-I1022)</f>
        <v>45</v>
      </c>
    </row>
    <row r="1023" customFormat="false" ht="15" hidden="false" customHeight="false" outlineLevel="0" collapsed="false">
      <c r="A1023" s="11" t="n">
        <v>1022</v>
      </c>
      <c r="B1023" s="15" t="n">
        <v>45977</v>
      </c>
      <c r="C1023" s="11" t="n">
        <v>4</v>
      </c>
      <c r="D1023" s="11" t="n">
        <v>8</v>
      </c>
      <c r="E1023" s="11" t="n">
        <v>38</v>
      </c>
      <c r="F1023" s="11" t="n">
        <v>16</v>
      </c>
      <c r="G1023" s="11" t="n">
        <v>3</v>
      </c>
      <c r="H1023" s="13" t="n">
        <v>45</v>
      </c>
      <c r="I1023" s="16" t="n">
        <v>0</v>
      </c>
      <c r="J1023" s="13" t="n">
        <f aca="false">G1023*H1023</f>
        <v>135</v>
      </c>
      <c r="K1023" s="13" t="n">
        <f aca="false">J1023*(1-I1023)</f>
        <v>135</v>
      </c>
    </row>
    <row r="1024" customFormat="false" ht="15" hidden="false" customHeight="false" outlineLevel="0" collapsed="false">
      <c r="A1024" s="11" t="n">
        <v>1023</v>
      </c>
      <c r="B1024" s="15" t="n">
        <v>45977</v>
      </c>
      <c r="C1024" s="11" t="n">
        <v>4</v>
      </c>
      <c r="D1024" s="11" t="n">
        <v>9</v>
      </c>
      <c r="E1024" s="11" t="n">
        <v>29</v>
      </c>
      <c r="F1024" s="11" t="n">
        <v>20</v>
      </c>
      <c r="G1024" s="11" t="n">
        <v>1</v>
      </c>
      <c r="H1024" s="13" t="n">
        <v>88</v>
      </c>
      <c r="I1024" s="16" t="n">
        <v>0</v>
      </c>
      <c r="J1024" s="13" t="n">
        <f aca="false">G1024*H1024</f>
        <v>88</v>
      </c>
      <c r="K1024" s="13" t="n">
        <f aca="false">J1024*(1-I1024)</f>
        <v>88</v>
      </c>
    </row>
    <row r="1025" customFormat="false" ht="15" hidden="false" customHeight="false" outlineLevel="0" collapsed="false">
      <c r="A1025" s="11" t="n">
        <v>1024</v>
      </c>
      <c r="B1025" s="15" t="n">
        <v>45977</v>
      </c>
      <c r="C1025" s="11" t="n">
        <v>1</v>
      </c>
      <c r="D1025" s="11" t="n">
        <v>3</v>
      </c>
      <c r="E1025" s="11" t="n">
        <v>23</v>
      </c>
      <c r="F1025" s="11" t="n">
        <v>3</v>
      </c>
      <c r="G1025" s="11" t="n">
        <v>3</v>
      </c>
      <c r="H1025" s="13" t="n">
        <v>38</v>
      </c>
      <c r="I1025" s="16" t="n">
        <v>0</v>
      </c>
      <c r="J1025" s="13" t="n">
        <f aca="false">G1025*H1025</f>
        <v>114</v>
      </c>
      <c r="K1025" s="13" t="n">
        <f aca="false">J1025*(1-I1025)</f>
        <v>114</v>
      </c>
    </row>
    <row r="1026" customFormat="false" ht="15" hidden="false" customHeight="false" outlineLevel="0" collapsed="false">
      <c r="A1026" s="11" t="n">
        <v>1025</v>
      </c>
      <c r="B1026" s="15" t="n">
        <v>45978</v>
      </c>
      <c r="C1026" s="11" t="n">
        <v>2</v>
      </c>
      <c r="D1026" s="11" t="n">
        <v>5</v>
      </c>
      <c r="E1026" s="11" t="n">
        <v>43</v>
      </c>
      <c r="F1026" s="11" t="n">
        <v>4</v>
      </c>
      <c r="G1026" s="11" t="n">
        <v>1</v>
      </c>
      <c r="H1026" s="13" t="n">
        <v>55</v>
      </c>
      <c r="I1026" s="16" t="n">
        <v>0</v>
      </c>
      <c r="J1026" s="13" t="n">
        <f aca="false">G1026*H1026</f>
        <v>55</v>
      </c>
      <c r="K1026" s="13" t="n">
        <f aca="false">J1026*(1-I1026)</f>
        <v>55</v>
      </c>
    </row>
    <row r="1027" customFormat="false" ht="15" hidden="false" customHeight="false" outlineLevel="0" collapsed="false">
      <c r="A1027" s="11" t="n">
        <v>1026</v>
      </c>
      <c r="B1027" s="15" t="n">
        <v>45978</v>
      </c>
      <c r="C1027" s="11" t="n">
        <v>2</v>
      </c>
      <c r="D1027" s="11" t="n">
        <v>4</v>
      </c>
      <c r="E1027" s="11" t="n">
        <v>51</v>
      </c>
      <c r="F1027" s="11" t="n">
        <v>20</v>
      </c>
      <c r="G1027" s="11" t="n">
        <v>2</v>
      </c>
      <c r="H1027" s="13" t="n">
        <v>88</v>
      </c>
      <c r="I1027" s="16" t="n">
        <v>0</v>
      </c>
      <c r="J1027" s="13" t="n">
        <f aca="false">G1027*H1027</f>
        <v>176</v>
      </c>
      <c r="K1027" s="13" t="n">
        <f aca="false">J1027*(1-I1027)</f>
        <v>176</v>
      </c>
    </row>
    <row r="1028" customFormat="false" ht="15" hidden="false" customHeight="false" outlineLevel="0" collapsed="false">
      <c r="A1028" s="11" t="n">
        <v>1027</v>
      </c>
      <c r="B1028" s="15" t="n">
        <v>45978</v>
      </c>
      <c r="C1028" s="11" t="n">
        <v>2</v>
      </c>
      <c r="D1028" s="11" t="n">
        <v>5</v>
      </c>
      <c r="E1028" s="11" t="n">
        <v>46</v>
      </c>
      <c r="F1028" s="11" t="n">
        <v>18</v>
      </c>
      <c r="G1028" s="11" t="n">
        <v>2</v>
      </c>
      <c r="H1028" s="13" t="n">
        <v>95</v>
      </c>
      <c r="I1028" s="16" t="n">
        <v>0</v>
      </c>
      <c r="J1028" s="13" t="n">
        <f aca="false">G1028*H1028</f>
        <v>190</v>
      </c>
      <c r="K1028" s="13" t="n">
        <f aca="false">J1028*(1-I1028)</f>
        <v>190</v>
      </c>
    </row>
    <row r="1029" customFormat="false" ht="15" hidden="false" customHeight="false" outlineLevel="0" collapsed="false">
      <c r="A1029" s="11" t="n">
        <v>1028</v>
      </c>
      <c r="B1029" s="15" t="n">
        <v>45979</v>
      </c>
      <c r="C1029" s="11" t="n">
        <v>1</v>
      </c>
      <c r="D1029" s="11" t="n">
        <v>3</v>
      </c>
      <c r="E1029" s="11" t="n">
        <v>36</v>
      </c>
      <c r="F1029" s="11" t="n">
        <v>11</v>
      </c>
      <c r="G1029" s="11" t="n">
        <v>2</v>
      </c>
      <c r="H1029" s="13" t="n">
        <v>72</v>
      </c>
      <c r="I1029" s="16" t="n">
        <v>0</v>
      </c>
      <c r="J1029" s="13" t="n">
        <f aca="false">G1029*H1029</f>
        <v>144</v>
      </c>
      <c r="K1029" s="13" t="n">
        <f aca="false">J1029*(1-I1029)</f>
        <v>144</v>
      </c>
    </row>
    <row r="1030" customFormat="false" ht="15" hidden="false" customHeight="false" outlineLevel="0" collapsed="false">
      <c r="A1030" s="11" t="n">
        <v>1029</v>
      </c>
      <c r="B1030" s="15" t="n">
        <v>45979</v>
      </c>
      <c r="C1030" s="11" t="n">
        <v>2</v>
      </c>
      <c r="D1030" s="11" t="n">
        <v>4</v>
      </c>
      <c r="E1030" s="11" t="n">
        <v>6</v>
      </c>
      <c r="F1030" s="11" t="n">
        <v>11</v>
      </c>
      <c r="G1030" s="11" t="n">
        <v>2</v>
      </c>
      <c r="H1030" s="13" t="n">
        <v>72</v>
      </c>
      <c r="I1030" s="16" t="n">
        <v>0</v>
      </c>
      <c r="J1030" s="13" t="n">
        <f aca="false">G1030*H1030</f>
        <v>144</v>
      </c>
      <c r="K1030" s="13" t="n">
        <f aca="false">J1030*(1-I1030)</f>
        <v>144</v>
      </c>
    </row>
    <row r="1031" customFormat="false" ht="15" hidden="false" customHeight="false" outlineLevel="0" collapsed="false">
      <c r="A1031" s="11" t="n">
        <v>1030</v>
      </c>
      <c r="B1031" s="15" t="n">
        <v>45979</v>
      </c>
      <c r="C1031" s="11" t="n">
        <v>1</v>
      </c>
      <c r="D1031" s="11" t="n">
        <v>1</v>
      </c>
      <c r="E1031" s="11" t="n">
        <v>5</v>
      </c>
      <c r="F1031" s="11" t="n">
        <v>10</v>
      </c>
      <c r="G1031" s="11" t="n">
        <v>1</v>
      </c>
      <c r="H1031" s="13" t="n">
        <v>70</v>
      </c>
      <c r="I1031" s="16" t="n">
        <v>0</v>
      </c>
      <c r="J1031" s="13" t="n">
        <f aca="false">G1031*H1031</f>
        <v>70</v>
      </c>
      <c r="K1031" s="13" t="n">
        <f aca="false">J1031*(1-I1031)</f>
        <v>70</v>
      </c>
    </row>
    <row r="1032" customFormat="false" ht="15" hidden="false" customHeight="false" outlineLevel="0" collapsed="false">
      <c r="A1032" s="11" t="n">
        <v>1031</v>
      </c>
      <c r="B1032" s="15" t="n">
        <v>45979</v>
      </c>
      <c r="C1032" s="11" t="n">
        <v>3</v>
      </c>
      <c r="D1032" s="11" t="n">
        <v>6</v>
      </c>
      <c r="E1032" s="11" t="n">
        <v>6</v>
      </c>
      <c r="F1032" s="11" t="n">
        <v>16</v>
      </c>
      <c r="G1032" s="11" t="n">
        <v>2</v>
      </c>
      <c r="H1032" s="13" t="n">
        <v>45</v>
      </c>
      <c r="I1032" s="16" t="n">
        <v>0.1</v>
      </c>
      <c r="J1032" s="13" t="n">
        <f aca="false">G1032*H1032</f>
        <v>90</v>
      </c>
      <c r="K1032" s="13" t="n">
        <f aca="false">J1032*(1-I1032)</f>
        <v>81</v>
      </c>
    </row>
    <row r="1033" customFormat="false" ht="15" hidden="false" customHeight="false" outlineLevel="0" collapsed="false">
      <c r="A1033" s="11" t="n">
        <v>1032</v>
      </c>
      <c r="B1033" s="15" t="n">
        <v>45979</v>
      </c>
      <c r="C1033" s="11" t="n">
        <v>2</v>
      </c>
      <c r="D1033" s="11" t="n">
        <v>5</v>
      </c>
      <c r="E1033" s="11" t="n">
        <v>13</v>
      </c>
      <c r="F1033" s="11" t="n">
        <v>5</v>
      </c>
      <c r="G1033" s="11" t="n">
        <v>3</v>
      </c>
      <c r="H1033" s="13" t="n">
        <v>58</v>
      </c>
      <c r="I1033" s="16" t="n">
        <v>0</v>
      </c>
      <c r="J1033" s="13" t="n">
        <f aca="false">G1033*H1033</f>
        <v>174</v>
      </c>
      <c r="K1033" s="13" t="n">
        <f aca="false">J1033*(1-I1033)</f>
        <v>174</v>
      </c>
    </row>
    <row r="1034" customFormat="false" ht="15" hidden="false" customHeight="false" outlineLevel="0" collapsed="false">
      <c r="A1034" s="11" t="n">
        <v>1033</v>
      </c>
      <c r="B1034" s="15" t="n">
        <v>45979</v>
      </c>
      <c r="C1034" s="11" t="n">
        <v>2</v>
      </c>
      <c r="D1034" s="11" t="n">
        <v>5</v>
      </c>
      <c r="E1034" s="11" t="n">
        <v>57</v>
      </c>
      <c r="F1034" s="11" t="n">
        <v>18</v>
      </c>
      <c r="G1034" s="11" t="n">
        <v>1</v>
      </c>
      <c r="H1034" s="13" t="n">
        <v>95</v>
      </c>
      <c r="I1034" s="16" t="n">
        <v>0</v>
      </c>
      <c r="J1034" s="13" t="n">
        <f aca="false">G1034*H1034</f>
        <v>95</v>
      </c>
      <c r="K1034" s="13" t="n">
        <f aca="false">J1034*(1-I1034)</f>
        <v>95</v>
      </c>
    </row>
    <row r="1035" customFormat="false" ht="15" hidden="false" customHeight="false" outlineLevel="0" collapsed="false">
      <c r="A1035" s="11" t="n">
        <v>1034</v>
      </c>
      <c r="B1035" s="15" t="n">
        <v>45979</v>
      </c>
      <c r="C1035" s="11" t="n">
        <v>4</v>
      </c>
      <c r="D1035" s="11" t="n">
        <v>9</v>
      </c>
      <c r="E1035" s="11" t="n">
        <v>51</v>
      </c>
      <c r="F1035" s="11" t="n">
        <v>14</v>
      </c>
      <c r="G1035" s="11" t="n">
        <v>4</v>
      </c>
      <c r="H1035" s="13" t="n">
        <v>38</v>
      </c>
      <c r="I1035" s="16" t="n">
        <v>0</v>
      </c>
      <c r="J1035" s="13" t="n">
        <f aca="false">G1035*H1035</f>
        <v>152</v>
      </c>
      <c r="K1035" s="13" t="n">
        <f aca="false">J1035*(1-I1035)</f>
        <v>152</v>
      </c>
    </row>
    <row r="1036" customFormat="false" ht="15" hidden="false" customHeight="false" outlineLevel="0" collapsed="false">
      <c r="A1036" s="11" t="n">
        <v>1035</v>
      </c>
      <c r="B1036" s="15" t="n">
        <v>45979</v>
      </c>
      <c r="C1036" s="11" t="n">
        <v>3</v>
      </c>
      <c r="D1036" s="11" t="n">
        <v>7</v>
      </c>
      <c r="E1036" s="11" t="n">
        <v>16</v>
      </c>
      <c r="F1036" s="11" t="n">
        <v>20</v>
      </c>
      <c r="G1036" s="11" t="n">
        <v>1</v>
      </c>
      <c r="H1036" s="13" t="n">
        <v>88</v>
      </c>
      <c r="I1036" s="16" t="n">
        <v>0</v>
      </c>
      <c r="J1036" s="13" t="n">
        <f aca="false">G1036*H1036</f>
        <v>88</v>
      </c>
      <c r="K1036" s="13" t="n">
        <f aca="false">J1036*(1-I1036)</f>
        <v>88</v>
      </c>
    </row>
    <row r="1037" customFormat="false" ht="15" hidden="false" customHeight="false" outlineLevel="0" collapsed="false">
      <c r="A1037" s="11" t="n">
        <v>1036</v>
      </c>
      <c r="B1037" s="15" t="n">
        <v>45980</v>
      </c>
      <c r="C1037" s="11" t="n">
        <v>2</v>
      </c>
      <c r="D1037" s="11" t="n">
        <v>4</v>
      </c>
      <c r="E1037" s="11" t="n">
        <v>23</v>
      </c>
      <c r="F1037" s="11" t="n">
        <v>10</v>
      </c>
      <c r="G1037" s="11" t="n">
        <v>2</v>
      </c>
      <c r="H1037" s="13" t="n">
        <v>70</v>
      </c>
      <c r="I1037" s="16" t="n">
        <v>0.05</v>
      </c>
      <c r="J1037" s="13" t="n">
        <f aca="false">G1037*H1037</f>
        <v>140</v>
      </c>
      <c r="K1037" s="13" t="n">
        <f aca="false">J1037*(1-I1037)</f>
        <v>133</v>
      </c>
    </row>
    <row r="1038" customFormat="false" ht="15" hidden="false" customHeight="false" outlineLevel="0" collapsed="false">
      <c r="A1038" s="11" t="n">
        <v>1037</v>
      </c>
      <c r="B1038" s="15" t="n">
        <v>45980</v>
      </c>
      <c r="C1038" s="11" t="n">
        <v>5</v>
      </c>
      <c r="D1038" s="11" t="n">
        <v>10</v>
      </c>
      <c r="E1038" s="11" t="n">
        <v>37</v>
      </c>
      <c r="F1038" s="11" t="n">
        <v>2</v>
      </c>
      <c r="G1038" s="11" t="n">
        <v>2</v>
      </c>
      <c r="H1038" s="13" t="n">
        <v>45</v>
      </c>
      <c r="I1038" s="16" t="n">
        <v>0</v>
      </c>
      <c r="J1038" s="13" t="n">
        <f aca="false">G1038*H1038</f>
        <v>90</v>
      </c>
      <c r="K1038" s="13" t="n">
        <f aca="false">J1038*(1-I1038)</f>
        <v>90</v>
      </c>
    </row>
    <row r="1039" customFormat="false" ht="15" hidden="false" customHeight="false" outlineLevel="0" collapsed="false">
      <c r="A1039" s="11" t="n">
        <v>1038</v>
      </c>
      <c r="B1039" s="15" t="n">
        <v>45980</v>
      </c>
      <c r="C1039" s="11" t="n">
        <v>4</v>
      </c>
      <c r="D1039" s="11" t="n">
        <v>8</v>
      </c>
      <c r="E1039" s="11" t="n">
        <v>11</v>
      </c>
      <c r="F1039" s="11" t="n">
        <v>15</v>
      </c>
      <c r="G1039" s="11" t="n">
        <v>1</v>
      </c>
      <c r="H1039" s="13" t="n">
        <v>65</v>
      </c>
      <c r="I1039" s="16" t="n">
        <v>0.05</v>
      </c>
      <c r="J1039" s="13" t="n">
        <f aca="false">G1039*H1039</f>
        <v>65</v>
      </c>
      <c r="K1039" s="13" t="n">
        <f aca="false">J1039*(1-I1039)</f>
        <v>61.75</v>
      </c>
    </row>
    <row r="1040" customFormat="false" ht="15" hidden="false" customHeight="false" outlineLevel="0" collapsed="false">
      <c r="A1040" s="11" t="n">
        <v>1039</v>
      </c>
      <c r="B1040" s="15" t="n">
        <v>45980</v>
      </c>
      <c r="C1040" s="11" t="n">
        <v>2</v>
      </c>
      <c r="D1040" s="11" t="n">
        <v>4</v>
      </c>
      <c r="E1040" s="11" t="n">
        <v>59</v>
      </c>
      <c r="F1040" s="11" t="n">
        <v>2</v>
      </c>
      <c r="G1040" s="11" t="n">
        <v>2</v>
      </c>
      <c r="H1040" s="13" t="n">
        <v>45</v>
      </c>
      <c r="I1040" s="16" t="n">
        <v>0</v>
      </c>
      <c r="J1040" s="13" t="n">
        <f aca="false">G1040*H1040</f>
        <v>90</v>
      </c>
      <c r="K1040" s="13" t="n">
        <f aca="false">J1040*(1-I1040)</f>
        <v>90</v>
      </c>
    </row>
    <row r="1041" customFormat="false" ht="15" hidden="false" customHeight="false" outlineLevel="0" collapsed="false">
      <c r="A1041" s="11" t="n">
        <v>1040</v>
      </c>
      <c r="B1041" s="15" t="n">
        <v>45980</v>
      </c>
      <c r="C1041" s="11" t="n">
        <v>1</v>
      </c>
      <c r="D1041" s="11" t="n">
        <v>2</v>
      </c>
      <c r="E1041" s="11" t="n">
        <v>37</v>
      </c>
      <c r="F1041" s="11" t="n">
        <v>13</v>
      </c>
      <c r="G1041" s="11" t="n">
        <v>1</v>
      </c>
      <c r="H1041" s="13" t="n">
        <v>32</v>
      </c>
      <c r="I1041" s="16" t="n">
        <v>0</v>
      </c>
      <c r="J1041" s="13" t="n">
        <f aca="false">G1041*H1041</f>
        <v>32</v>
      </c>
      <c r="K1041" s="13" t="n">
        <f aca="false">J1041*(1-I1041)</f>
        <v>32</v>
      </c>
    </row>
    <row r="1042" customFormat="false" ht="15" hidden="false" customHeight="false" outlineLevel="0" collapsed="false">
      <c r="A1042" s="11" t="n">
        <v>1041</v>
      </c>
      <c r="B1042" s="15" t="n">
        <v>45980</v>
      </c>
      <c r="C1042" s="11" t="n">
        <v>1</v>
      </c>
      <c r="D1042" s="11" t="n">
        <v>2</v>
      </c>
      <c r="E1042" s="11" t="n">
        <v>17</v>
      </c>
      <c r="F1042" s="11" t="n">
        <v>18</v>
      </c>
      <c r="G1042" s="11" t="n">
        <v>1</v>
      </c>
      <c r="H1042" s="13" t="n">
        <v>95</v>
      </c>
      <c r="I1042" s="16" t="n">
        <v>0</v>
      </c>
      <c r="J1042" s="13" t="n">
        <f aca="false">G1042*H1042</f>
        <v>95</v>
      </c>
      <c r="K1042" s="13" t="n">
        <f aca="false">J1042*(1-I1042)</f>
        <v>95</v>
      </c>
    </row>
    <row r="1043" customFormat="false" ht="15" hidden="false" customHeight="false" outlineLevel="0" collapsed="false">
      <c r="A1043" s="11" t="n">
        <v>1042</v>
      </c>
      <c r="B1043" s="15" t="n">
        <v>45981</v>
      </c>
      <c r="C1043" s="11" t="n">
        <v>1</v>
      </c>
      <c r="D1043" s="11" t="n">
        <v>3</v>
      </c>
      <c r="E1043" s="11" t="n">
        <v>60</v>
      </c>
      <c r="F1043" s="11" t="n">
        <v>6</v>
      </c>
      <c r="G1043" s="11" t="n">
        <v>1</v>
      </c>
      <c r="H1043" s="13" t="n">
        <v>62</v>
      </c>
      <c r="I1043" s="16" t="n">
        <v>0</v>
      </c>
      <c r="J1043" s="13" t="n">
        <f aca="false">G1043*H1043</f>
        <v>62</v>
      </c>
      <c r="K1043" s="13" t="n">
        <f aca="false">J1043*(1-I1043)</f>
        <v>62</v>
      </c>
    </row>
    <row r="1044" customFormat="false" ht="15" hidden="false" customHeight="false" outlineLevel="0" collapsed="false">
      <c r="A1044" s="11" t="n">
        <v>1043</v>
      </c>
      <c r="B1044" s="15" t="n">
        <v>45981</v>
      </c>
      <c r="C1044" s="11" t="n">
        <v>4</v>
      </c>
      <c r="D1044" s="11" t="n">
        <v>9</v>
      </c>
      <c r="E1044" s="11" t="n">
        <v>34</v>
      </c>
      <c r="F1044" s="11" t="n">
        <v>11</v>
      </c>
      <c r="G1044" s="11" t="n">
        <v>1</v>
      </c>
      <c r="H1044" s="13" t="n">
        <v>72</v>
      </c>
      <c r="I1044" s="16" t="n">
        <v>0</v>
      </c>
      <c r="J1044" s="13" t="n">
        <f aca="false">G1044*H1044</f>
        <v>72</v>
      </c>
      <c r="K1044" s="13" t="n">
        <f aca="false">J1044*(1-I1044)</f>
        <v>72</v>
      </c>
    </row>
    <row r="1045" customFormat="false" ht="15" hidden="false" customHeight="false" outlineLevel="0" collapsed="false">
      <c r="A1045" s="11" t="n">
        <v>1044</v>
      </c>
      <c r="B1045" s="15" t="n">
        <v>45981</v>
      </c>
      <c r="C1045" s="11" t="n">
        <v>1</v>
      </c>
      <c r="D1045" s="11" t="n">
        <v>3</v>
      </c>
      <c r="E1045" s="11" t="n">
        <v>28</v>
      </c>
      <c r="F1045" s="11" t="n">
        <v>3</v>
      </c>
      <c r="G1045" s="11" t="n">
        <v>1</v>
      </c>
      <c r="H1045" s="13" t="n">
        <v>38</v>
      </c>
      <c r="I1045" s="16" t="n">
        <v>0</v>
      </c>
      <c r="J1045" s="13" t="n">
        <f aca="false">G1045*H1045</f>
        <v>38</v>
      </c>
      <c r="K1045" s="13" t="n">
        <f aca="false">J1045*(1-I1045)</f>
        <v>38</v>
      </c>
    </row>
    <row r="1046" customFormat="false" ht="15" hidden="false" customHeight="false" outlineLevel="0" collapsed="false">
      <c r="A1046" s="11" t="n">
        <v>1045</v>
      </c>
      <c r="B1046" s="15" t="n">
        <v>45981</v>
      </c>
      <c r="C1046" s="11" t="n">
        <v>1</v>
      </c>
      <c r="D1046" s="11" t="n">
        <v>3</v>
      </c>
      <c r="E1046" s="11" t="n">
        <v>48</v>
      </c>
      <c r="F1046" s="11" t="n">
        <v>3</v>
      </c>
      <c r="G1046" s="11" t="n">
        <v>2</v>
      </c>
      <c r="H1046" s="13" t="n">
        <v>38</v>
      </c>
      <c r="I1046" s="16" t="n">
        <v>0</v>
      </c>
      <c r="J1046" s="13" t="n">
        <f aca="false">G1046*H1046</f>
        <v>76</v>
      </c>
      <c r="K1046" s="13" t="n">
        <f aca="false">J1046*(1-I1046)</f>
        <v>76</v>
      </c>
    </row>
    <row r="1047" customFormat="false" ht="15" hidden="false" customHeight="false" outlineLevel="0" collapsed="false">
      <c r="A1047" s="11" t="n">
        <v>1046</v>
      </c>
      <c r="B1047" s="15" t="n">
        <v>45982</v>
      </c>
      <c r="C1047" s="11" t="n">
        <v>5</v>
      </c>
      <c r="D1047" s="11" t="n">
        <v>10</v>
      </c>
      <c r="E1047" s="11" t="n">
        <v>20</v>
      </c>
      <c r="F1047" s="11" t="n">
        <v>11</v>
      </c>
      <c r="G1047" s="11" t="n">
        <v>2</v>
      </c>
      <c r="H1047" s="13" t="n">
        <v>72</v>
      </c>
      <c r="I1047" s="16" t="n">
        <v>0</v>
      </c>
      <c r="J1047" s="13" t="n">
        <f aca="false">G1047*H1047</f>
        <v>144</v>
      </c>
      <c r="K1047" s="13" t="n">
        <f aca="false">J1047*(1-I1047)</f>
        <v>144</v>
      </c>
    </row>
    <row r="1048" customFormat="false" ht="15" hidden="false" customHeight="false" outlineLevel="0" collapsed="false">
      <c r="A1048" s="11" t="n">
        <v>1047</v>
      </c>
      <c r="B1048" s="15" t="n">
        <v>45982</v>
      </c>
      <c r="C1048" s="11" t="n">
        <v>1</v>
      </c>
      <c r="D1048" s="11" t="n">
        <v>3</v>
      </c>
      <c r="E1048" s="11" t="n">
        <v>43</v>
      </c>
      <c r="F1048" s="11" t="n">
        <v>14</v>
      </c>
      <c r="G1048" s="11" t="n">
        <v>1</v>
      </c>
      <c r="H1048" s="13" t="n">
        <v>38</v>
      </c>
      <c r="I1048" s="16" t="n">
        <v>0</v>
      </c>
      <c r="J1048" s="13" t="n">
        <f aca="false">G1048*H1048</f>
        <v>38</v>
      </c>
      <c r="K1048" s="13" t="n">
        <f aca="false">J1048*(1-I1048)</f>
        <v>38</v>
      </c>
    </row>
    <row r="1049" customFormat="false" ht="15" hidden="false" customHeight="false" outlineLevel="0" collapsed="false">
      <c r="A1049" s="11" t="n">
        <v>1048</v>
      </c>
      <c r="B1049" s="15" t="n">
        <v>45982</v>
      </c>
      <c r="C1049" s="11" t="n">
        <v>3</v>
      </c>
      <c r="D1049" s="11" t="n">
        <v>6</v>
      </c>
      <c r="E1049" s="11" t="n">
        <v>7</v>
      </c>
      <c r="F1049" s="11" t="n">
        <v>1</v>
      </c>
      <c r="G1049" s="11" t="n">
        <v>1</v>
      </c>
      <c r="H1049" s="13" t="n">
        <v>35</v>
      </c>
      <c r="I1049" s="16" t="n">
        <v>0</v>
      </c>
      <c r="J1049" s="13" t="n">
        <f aca="false">G1049*H1049</f>
        <v>35</v>
      </c>
      <c r="K1049" s="13" t="n">
        <f aca="false">J1049*(1-I1049)</f>
        <v>35</v>
      </c>
    </row>
    <row r="1050" customFormat="false" ht="15" hidden="false" customHeight="false" outlineLevel="0" collapsed="false">
      <c r="A1050" s="11" t="n">
        <v>1049</v>
      </c>
      <c r="B1050" s="15" t="n">
        <v>45982</v>
      </c>
      <c r="C1050" s="11" t="n">
        <v>1</v>
      </c>
      <c r="D1050" s="11" t="n">
        <v>1</v>
      </c>
      <c r="E1050" s="11" t="n">
        <v>43</v>
      </c>
      <c r="F1050" s="11" t="n">
        <v>4</v>
      </c>
      <c r="G1050" s="11" t="n">
        <v>1</v>
      </c>
      <c r="H1050" s="13" t="n">
        <v>55</v>
      </c>
      <c r="I1050" s="16" t="n">
        <v>0</v>
      </c>
      <c r="J1050" s="13" t="n">
        <f aca="false">G1050*H1050</f>
        <v>55</v>
      </c>
      <c r="K1050" s="13" t="n">
        <f aca="false">J1050*(1-I1050)</f>
        <v>55</v>
      </c>
    </row>
    <row r="1051" customFormat="false" ht="15" hidden="false" customHeight="false" outlineLevel="0" collapsed="false">
      <c r="A1051" s="11" t="n">
        <v>1050</v>
      </c>
      <c r="B1051" s="15" t="n">
        <v>45983</v>
      </c>
      <c r="C1051" s="11" t="n">
        <v>3</v>
      </c>
      <c r="D1051" s="11" t="n">
        <v>6</v>
      </c>
      <c r="E1051" s="11" t="n">
        <v>47</v>
      </c>
      <c r="F1051" s="11" t="n">
        <v>16</v>
      </c>
      <c r="G1051" s="11" t="n">
        <v>2</v>
      </c>
      <c r="H1051" s="13" t="n">
        <v>45</v>
      </c>
      <c r="I1051" s="16" t="n">
        <v>0</v>
      </c>
      <c r="J1051" s="13" t="n">
        <f aca="false">G1051*H1051</f>
        <v>90</v>
      </c>
      <c r="K1051" s="13" t="n">
        <f aca="false">J1051*(1-I1051)</f>
        <v>90</v>
      </c>
    </row>
    <row r="1052" customFormat="false" ht="15" hidden="false" customHeight="false" outlineLevel="0" collapsed="false">
      <c r="A1052" s="11" t="n">
        <v>1051</v>
      </c>
      <c r="B1052" s="15" t="n">
        <v>45983</v>
      </c>
      <c r="C1052" s="11" t="n">
        <v>3</v>
      </c>
      <c r="D1052" s="11" t="n">
        <v>7</v>
      </c>
      <c r="E1052" s="11" t="n">
        <v>39</v>
      </c>
      <c r="F1052" s="11" t="n">
        <v>1</v>
      </c>
      <c r="G1052" s="11" t="n">
        <v>1</v>
      </c>
      <c r="H1052" s="13" t="n">
        <v>35</v>
      </c>
      <c r="I1052" s="16" t="n">
        <v>0</v>
      </c>
      <c r="J1052" s="13" t="n">
        <f aca="false">G1052*H1052</f>
        <v>35</v>
      </c>
      <c r="K1052" s="13" t="n">
        <f aca="false">J1052*(1-I1052)</f>
        <v>35</v>
      </c>
    </row>
    <row r="1053" customFormat="false" ht="15" hidden="false" customHeight="false" outlineLevel="0" collapsed="false">
      <c r="A1053" s="11" t="n">
        <v>1052</v>
      </c>
      <c r="B1053" s="15" t="n">
        <v>45984</v>
      </c>
      <c r="C1053" s="11" t="n">
        <v>5</v>
      </c>
      <c r="D1053" s="11" t="n">
        <v>10</v>
      </c>
      <c r="E1053" s="11" t="n">
        <v>11</v>
      </c>
      <c r="F1053" s="11" t="n">
        <v>8</v>
      </c>
      <c r="G1053" s="11" t="n">
        <v>1</v>
      </c>
      <c r="H1053" s="13" t="n">
        <v>52</v>
      </c>
      <c r="I1053" s="16" t="n">
        <v>0.15</v>
      </c>
      <c r="J1053" s="13" t="n">
        <f aca="false">G1053*H1053</f>
        <v>52</v>
      </c>
      <c r="K1053" s="13" t="n">
        <f aca="false">J1053*(1-I1053)</f>
        <v>44.2</v>
      </c>
    </row>
    <row r="1054" customFormat="false" ht="15" hidden="false" customHeight="false" outlineLevel="0" collapsed="false">
      <c r="A1054" s="11" t="n">
        <v>1053</v>
      </c>
      <c r="B1054" s="15" t="n">
        <v>45984</v>
      </c>
      <c r="C1054" s="11" t="n">
        <v>1</v>
      </c>
      <c r="D1054" s="11" t="n">
        <v>1</v>
      </c>
      <c r="E1054" s="11" t="n">
        <v>23</v>
      </c>
      <c r="F1054" s="11" t="n">
        <v>14</v>
      </c>
      <c r="G1054" s="11" t="n">
        <v>2</v>
      </c>
      <c r="H1054" s="13" t="n">
        <v>38</v>
      </c>
      <c r="I1054" s="16" t="n">
        <v>0.05</v>
      </c>
      <c r="J1054" s="13" t="n">
        <f aca="false">G1054*H1054</f>
        <v>76</v>
      </c>
      <c r="K1054" s="13" t="n">
        <f aca="false">J1054*(1-I1054)</f>
        <v>72.2</v>
      </c>
    </row>
    <row r="1055" customFormat="false" ht="15" hidden="false" customHeight="false" outlineLevel="0" collapsed="false">
      <c r="A1055" s="11" t="n">
        <v>1054</v>
      </c>
      <c r="B1055" s="15" t="n">
        <v>45984</v>
      </c>
      <c r="C1055" s="11" t="n">
        <v>3</v>
      </c>
      <c r="D1055" s="11" t="n">
        <v>7</v>
      </c>
      <c r="E1055" s="11" t="n">
        <v>47</v>
      </c>
      <c r="F1055" s="11" t="n">
        <v>11</v>
      </c>
      <c r="G1055" s="11" t="n">
        <v>3</v>
      </c>
      <c r="H1055" s="13" t="n">
        <v>72</v>
      </c>
      <c r="I1055" s="16" t="n">
        <v>0</v>
      </c>
      <c r="J1055" s="13" t="n">
        <f aca="false">G1055*H1055</f>
        <v>216</v>
      </c>
      <c r="K1055" s="13" t="n">
        <f aca="false">J1055*(1-I1055)</f>
        <v>216</v>
      </c>
    </row>
    <row r="1056" customFormat="false" ht="15" hidden="false" customHeight="false" outlineLevel="0" collapsed="false">
      <c r="A1056" s="11" t="n">
        <v>1055</v>
      </c>
      <c r="B1056" s="15" t="n">
        <v>45985</v>
      </c>
      <c r="C1056" s="11" t="n">
        <v>2</v>
      </c>
      <c r="D1056" s="11" t="n">
        <v>5</v>
      </c>
      <c r="E1056" s="11" t="n">
        <v>22</v>
      </c>
      <c r="F1056" s="11" t="n">
        <v>6</v>
      </c>
      <c r="G1056" s="11" t="n">
        <v>1</v>
      </c>
      <c r="H1056" s="13" t="n">
        <v>62</v>
      </c>
      <c r="I1056" s="16" t="n">
        <v>0</v>
      </c>
      <c r="J1056" s="13" t="n">
        <f aca="false">G1056*H1056</f>
        <v>62</v>
      </c>
      <c r="K1056" s="13" t="n">
        <f aca="false">J1056*(1-I1056)</f>
        <v>62</v>
      </c>
    </row>
    <row r="1057" customFormat="false" ht="15" hidden="false" customHeight="false" outlineLevel="0" collapsed="false">
      <c r="A1057" s="11" t="n">
        <v>1056</v>
      </c>
      <c r="B1057" s="15" t="n">
        <v>45985</v>
      </c>
      <c r="C1057" s="11" t="n">
        <v>1</v>
      </c>
      <c r="D1057" s="11" t="n">
        <v>3</v>
      </c>
      <c r="E1057" s="11" t="n">
        <v>25</v>
      </c>
      <c r="F1057" s="11" t="n">
        <v>3</v>
      </c>
      <c r="G1057" s="11" t="n">
        <v>1</v>
      </c>
      <c r="H1057" s="13" t="n">
        <v>38</v>
      </c>
      <c r="I1057" s="16" t="n">
        <v>0</v>
      </c>
      <c r="J1057" s="13" t="n">
        <f aca="false">G1057*H1057</f>
        <v>38</v>
      </c>
      <c r="K1057" s="13" t="n">
        <f aca="false">J1057*(1-I1057)</f>
        <v>38</v>
      </c>
    </row>
    <row r="1058" customFormat="false" ht="15" hidden="false" customHeight="false" outlineLevel="0" collapsed="false">
      <c r="A1058" s="11" t="n">
        <v>1057</v>
      </c>
      <c r="B1058" s="15" t="n">
        <v>45986</v>
      </c>
      <c r="C1058" s="11" t="n">
        <v>2</v>
      </c>
      <c r="D1058" s="11" t="n">
        <v>4</v>
      </c>
      <c r="E1058" s="11" t="n">
        <v>52</v>
      </c>
      <c r="F1058" s="11" t="n">
        <v>17</v>
      </c>
      <c r="G1058" s="11" t="n">
        <v>1</v>
      </c>
      <c r="H1058" s="13" t="n">
        <v>28</v>
      </c>
      <c r="I1058" s="16" t="n">
        <v>0</v>
      </c>
      <c r="J1058" s="13" t="n">
        <f aca="false">G1058*H1058</f>
        <v>28</v>
      </c>
      <c r="K1058" s="13" t="n">
        <f aca="false">J1058*(1-I1058)</f>
        <v>28</v>
      </c>
    </row>
    <row r="1059" customFormat="false" ht="15" hidden="false" customHeight="false" outlineLevel="0" collapsed="false">
      <c r="A1059" s="11" t="n">
        <v>1058</v>
      </c>
      <c r="B1059" s="15" t="n">
        <v>45986</v>
      </c>
      <c r="C1059" s="11" t="n">
        <v>2</v>
      </c>
      <c r="D1059" s="11" t="n">
        <v>4</v>
      </c>
      <c r="E1059" s="11" t="n">
        <v>19</v>
      </c>
      <c r="F1059" s="11" t="n">
        <v>20</v>
      </c>
      <c r="G1059" s="11" t="n">
        <v>1</v>
      </c>
      <c r="H1059" s="13" t="n">
        <v>88</v>
      </c>
      <c r="I1059" s="16" t="n">
        <v>0</v>
      </c>
      <c r="J1059" s="13" t="n">
        <f aca="false">G1059*H1059</f>
        <v>88</v>
      </c>
      <c r="K1059" s="13" t="n">
        <f aca="false">J1059*(1-I1059)</f>
        <v>88</v>
      </c>
    </row>
    <row r="1060" customFormat="false" ht="15" hidden="false" customHeight="false" outlineLevel="0" collapsed="false">
      <c r="A1060" s="11" t="n">
        <v>1059</v>
      </c>
      <c r="B1060" s="15" t="n">
        <v>45986</v>
      </c>
      <c r="C1060" s="11" t="n">
        <v>4</v>
      </c>
      <c r="D1060" s="11" t="n">
        <v>9</v>
      </c>
      <c r="E1060" s="11" t="n">
        <v>40</v>
      </c>
      <c r="F1060" s="11" t="n">
        <v>1</v>
      </c>
      <c r="G1060" s="11" t="n">
        <v>3</v>
      </c>
      <c r="H1060" s="13" t="n">
        <v>35</v>
      </c>
      <c r="I1060" s="16" t="n">
        <v>0</v>
      </c>
      <c r="J1060" s="13" t="n">
        <f aca="false">G1060*H1060</f>
        <v>105</v>
      </c>
      <c r="K1060" s="13" t="n">
        <f aca="false">J1060*(1-I1060)</f>
        <v>105</v>
      </c>
    </row>
    <row r="1061" customFormat="false" ht="15" hidden="false" customHeight="false" outlineLevel="0" collapsed="false">
      <c r="A1061" s="11" t="n">
        <v>1060</v>
      </c>
      <c r="B1061" s="15" t="n">
        <v>45986</v>
      </c>
      <c r="C1061" s="11" t="n">
        <v>4</v>
      </c>
      <c r="D1061" s="11" t="n">
        <v>9</v>
      </c>
      <c r="E1061" s="11" t="n">
        <v>32</v>
      </c>
      <c r="F1061" s="11" t="n">
        <v>5</v>
      </c>
      <c r="G1061" s="11" t="n">
        <v>2</v>
      </c>
      <c r="H1061" s="13" t="n">
        <v>58</v>
      </c>
      <c r="I1061" s="16" t="n">
        <v>0</v>
      </c>
      <c r="J1061" s="13" t="n">
        <f aca="false">G1061*H1061</f>
        <v>116</v>
      </c>
      <c r="K1061" s="13" t="n">
        <f aca="false">J1061*(1-I1061)</f>
        <v>116</v>
      </c>
    </row>
    <row r="1062" customFormat="false" ht="15" hidden="false" customHeight="false" outlineLevel="0" collapsed="false">
      <c r="A1062" s="11" t="n">
        <v>1061</v>
      </c>
      <c r="B1062" s="15" t="n">
        <v>45986</v>
      </c>
      <c r="C1062" s="11" t="n">
        <v>4</v>
      </c>
      <c r="D1062" s="11" t="n">
        <v>8</v>
      </c>
      <c r="E1062" s="11" t="n">
        <v>2</v>
      </c>
      <c r="F1062" s="11" t="n">
        <v>1</v>
      </c>
      <c r="G1062" s="11" t="n">
        <v>2</v>
      </c>
      <c r="H1062" s="13" t="n">
        <v>35</v>
      </c>
      <c r="I1062" s="16" t="n">
        <v>0</v>
      </c>
      <c r="J1062" s="13" t="n">
        <f aca="false">G1062*H1062</f>
        <v>70</v>
      </c>
      <c r="K1062" s="13" t="n">
        <f aca="false">J1062*(1-I1062)</f>
        <v>70</v>
      </c>
    </row>
    <row r="1063" customFormat="false" ht="15" hidden="false" customHeight="false" outlineLevel="0" collapsed="false">
      <c r="A1063" s="11" t="n">
        <v>1062</v>
      </c>
      <c r="B1063" s="15" t="n">
        <v>45986</v>
      </c>
      <c r="C1063" s="11" t="n">
        <v>2</v>
      </c>
      <c r="D1063" s="11" t="n">
        <v>5</v>
      </c>
      <c r="E1063" s="11" t="n">
        <v>46</v>
      </c>
      <c r="F1063" s="11" t="n">
        <v>2</v>
      </c>
      <c r="G1063" s="11" t="n">
        <v>1</v>
      </c>
      <c r="H1063" s="13" t="n">
        <v>45</v>
      </c>
      <c r="I1063" s="16" t="n">
        <v>0</v>
      </c>
      <c r="J1063" s="13" t="n">
        <f aca="false">G1063*H1063</f>
        <v>45</v>
      </c>
      <c r="K1063" s="13" t="n">
        <f aca="false">J1063*(1-I1063)</f>
        <v>45</v>
      </c>
    </row>
    <row r="1064" customFormat="false" ht="15" hidden="false" customHeight="false" outlineLevel="0" collapsed="false">
      <c r="A1064" s="11" t="n">
        <v>1063</v>
      </c>
      <c r="B1064" s="15" t="n">
        <v>45987</v>
      </c>
      <c r="C1064" s="11" t="n">
        <v>1</v>
      </c>
      <c r="D1064" s="11" t="n">
        <v>1</v>
      </c>
      <c r="E1064" s="11" t="n">
        <v>10</v>
      </c>
      <c r="F1064" s="11" t="n">
        <v>8</v>
      </c>
      <c r="G1064" s="11" t="n">
        <v>3</v>
      </c>
      <c r="H1064" s="13" t="n">
        <v>52</v>
      </c>
      <c r="I1064" s="16" t="n">
        <v>0</v>
      </c>
      <c r="J1064" s="13" t="n">
        <f aca="false">G1064*H1064</f>
        <v>156</v>
      </c>
      <c r="K1064" s="13" t="n">
        <f aca="false">J1064*(1-I1064)</f>
        <v>156</v>
      </c>
    </row>
    <row r="1065" customFormat="false" ht="15" hidden="false" customHeight="false" outlineLevel="0" collapsed="false">
      <c r="A1065" s="11" t="n">
        <v>1064</v>
      </c>
      <c r="B1065" s="15" t="n">
        <v>45987</v>
      </c>
      <c r="C1065" s="11" t="n">
        <v>4</v>
      </c>
      <c r="D1065" s="11" t="n">
        <v>9</v>
      </c>
      <c r="E1065" s="11" t="n">
        <v>35</v>
      </c>
      <c r="F1065" s="11" t="n">
        <v>10</v>
      </c>
      <c r="G1065" s="11" t="n">
        <v>1</v>
      </c>
      <c r="H1065" s="13" t="n">
        <v>70</v>
      </c>
      <c r="I1065" s="16" t="n">
        <v>0</v>
      </c>
      <c r="J1065" s="13" t="n">
        <f aca="false">G1065*H1065</f>
        <v>70</v>
      </c>
      <c r="K1065" s="13" t="n">
        <f aca="false">J1065*(1-I1065)</f>
        <v>70</v>
      </c>
    </row>
    <row r="1066" customFormat="false" ht="15" hidden="false" customHeight="false" outlineLevel="0" collapsed="false">
      <c r="A1066" s="11" t="n">
        <v>1065</v>
      </c>
      <c r="B1066" s="15" t="n">
        <v>45987</v>
      </c>
      <c r="C1066" s="11" t="n">
        <v>1</v>
      </c>
      <c r="D1066" s="11" t="n">
        <v>3</v>
      </c>
      <c r="E1066" s="11" t="n">
        <v>32</v>
      </c>
      <c r="F1066" s="11" t="n">
        <v>13</v>
      </c>
      <c r="G1066" s="11" t="n">
        <v>1</v>
      </c>
      <c r="H1066" s="13" t="n">
        <v>32</v>
      </c>
      <c r="I1066" s="16" t="n">
        <v>0.05</v>
      </c>
      <c r="J1066" s="13" t="n">
        <f aca="false">G1066*H1066</f>
        <v>32</v>
      </c>
      <c r="K1066" s="13" t="n">
        <f aca="false">J1066*(1-I1066)</f>
        <v>30.4</v>
      </c>
    </row>
    <row r="1067" customFormat="false" ht="15" hidden="false" customHeight="false" outlineLevel="0" collapsed="false">
      <c r="A1067" s="11" t="n">
        <v>1066</v>
      </c>
      <c r="B1067" s="15" t="n">
        <v>45988</v>
      </c>
      <c r="C1067" s="11" t="n">
        <v>4</v>
      </c>
      <c r="D1067" s="11" t="n">
        <v>9</v>
      </c>
      <c r="E1067" s="11" t="n">
        <v>44</v>
      </c>
      <c r="F1067" s="11" t="n">
        <v>16</v>
      </c>
      <c r="G1067" s="11" t="n">
        <v>1</v>
      </c>
      <c r="H1067" s="13" t="n">
        <v>45</v>
      </c>
      <c r="I1067" s="16" t="n">
        <v>0</v>
      </c>
      <c r="J1067" s="13" t="n">
        <f aca="false">G1067*H1067</f>
        <v>45</v>
      </c>
      <c r="K1067" s="13" t="n">
        <f aca="false">J1067*(1-I1067)</f>
        <v>45</v>
      </c>
    </row>
    <row r="1068" customFormat="false" ht="15" hidden="false" customHeight="false" outlineLevel="0" collapsed="false">
      <c r="A1068" s="11" t="n">
        <v>1067</v>
      </c>
      <c r="B1068" s="15" t="n">
        <v>45988</v>
      </c>
      <c r="C1068" s="11" t="n">
        <v>2</v>
      </c>
      <c r="D1068" s="11" t="n">
        <v>4</v>
      </c>
      <c r="E1068" s="11" t="n">
        <v>53</v>
      </c>
      <c r="F1068" s="11" t="n">
        <v>20</v>
      </c>
      <c r="G1068" s="11" t="n">
        <v>1</v>
      </c>
      <c r="H1068" s="13" t="n">
        <v>88</v>
      </c>
      <c r="I1068" s="16" t="n">
        <v>0</v>
      </c>
      <c r="J1068" s="13" t="n">
        <f aca="false">G1068*H1068</f>
        <v>88</v>
      </c>
      <c r="K1068" s="13" t="n">
        <f aca="false">J1068*(1-I1068)</f>
        <v>88</v>
      </c>
    </row>
    <row r="1069" customFormat="false" ht="15" hidden="false" customHeight="false" outlineLevel="0" collapsed="false">
      <c r="A1069" s="11" t="n">
        <v>1068</v>
      </c>
      <c r="B1069" s="15" t="n">
        <v>45988</v>
      </c>
      <c r="C1069" s="11" t="n">
        <v>4</v>
      </c>
      <c r="D1069" s="11" t="n">
        <v>8</v>
      </c>
      <c r="E1069" s="11" t="n">
        <v>3</v>
      </c>
      <c r="F1069" s="11" t="n">
        <v>14</v>
      </c>
      <c r="G1069" s="11" t="n">
        <v>1</v>
      </c>
      <c r="H1069" s="13" t="n">
        <v>38</v>
      </c>
      <c r="I1069" s="16" t="n">
        <v>0.05</v>
      </c>
      <c r="J1069" s="13" t="n">
        <f aca="false">G1069*H1069</f>
        <v>38</v>
      </c>
      <c r="K1069" s="13" t="n">
        <f aca="false">J1069*(1-I1069)</f>
        <v>36.1</v>
      </c>
    </row>
    <row r="1070" customFormat="false" ht="15" hidden="false" customHeight="false" outlineLevel="0" collapsed="false">
      <c r="A1070" s="11" t="n">
        <v>1069</v>
      </c>
      <c r="B1070" s="15" t="n">
        <v>45989</v>
      </c>
      <c r="C1070" s="11" t="n">
        <v>3</v>
      </c>
      <c r="D1070" s="11" t="n">
        <v>6</v>
      </c>
      <c r="E1070" s="11" t="n">
        <v>53</v>
      </c>
      <c r="F1070" s="11" t="n">
        <v>15</v>
      </c>
      <c r="G1070" s="11" t="n">
        <v>1</v>
      </c>
      <c r="H1070" s="13" t="n">
        <v>65</v>
      </c>
      <c r="I1070" s="16" t="n">
        <v>0.05</v>
      </c>
      <c r="J1070" s="13" t="n">
        <f aca="false">G1070*H1070</f>
        <v>65</v>
      </c>
      <c r="K1070" s="13" t="n">
        <f aca="false">J1070*(1-I1070)</f>
        <v>61.75</v>
      </c>
    </row>
    <row r="1071" customFormat="false" ht="15" hidden="false" customHeight="false" outlineLevel="0" collapsed="false">
      <c r="A1071" s="11" t="n">
        <v>1070</v>
      </c>
      <c r="B1071" s="15" t="n">
        <v>45989</v>
      </c>
      <c r="C1071" s="11" t="n">
        <v>4</v>
      </c>
      <c r="D1071" s="11" t="n">
        <v>8</v>
      </c>
      <c r="E1071" s="11" t="n">
        <v>16</v>
      </c>
      <c r="F1071" s="11" t="n">
        <v>14</v>
      </c>
      <c r="G1071" s="11" t="n">
        <v>1</v>
      </c>
      <c r="H1071" s="13" t="n">
        <v>38</v>
      </c>
      <c r="I1071" s="16" t="n">
        <v>0</v>
      </c>
      <c r="J1071" s="13" t="n">
        <f aca="false">G1071*H1071</f>
        <v>38</v>
      </c>
      <c r="K1071" s="13" t="n">
        <f aca="false">J1071*(1-I1071)</f>
        <v>38</v>
      </c>
    </row>
    <row r="1072" customFormat="false" ht="15" hidden="false" customHeight="false" outlineLevel="0" collapsed="false">
      <c r="A1072" s="11" t="n">
        <v>1071</v>
      </c>
      <c r="B1072" s="15" t="n">
        <v>45991</v>
      </c>
      <c r="C1072" s="11" t="n">
        <v>4</v>
      </c>
      <c r="D1072" s="11" t="n">
        <v>9</v>
      </c>
      <c r="E1072" s="11" t="n">
        <v>8</v>
      </c>
      <c r="F1072" s="11" t="n">
        <v>5</v>
      </c>
      <c r="G1072" s="11" t="n">
        <v>1</v>
      </c>
      <c r="H1072" s="13" t="n">
        <v>58</v>
      </c>
      <c r="I1072" s="16" t="n">
        <v>0</v>
      </c>
      <c r="J1072" s="13" t="n">
        <f aca="false">G1072*H1072</f>
        <v>58</v>
      </c>
      <c r="K1072" s="13" t="n">
        <f aca="false">J1072*(1-I1072)</f>
        <v>58</v>
      </c>
    </row>
    <row r="1073" customFormat="false" ht="15" hidden="false" customHeight="false" outlineLevel="0" collapsed="false">
      <c r="A1073" s="11" t="n">
        <v>1072</v>
      </c>
      <c r="B1073" s="15" t="n">
        <v>45991</v>
      </c>
      <c r="C1073" s="11" t="n">
        <v>1</v>
      </c>
      <c r="D1073" s="11" t="n">
        <v>2</v>
      </c>
      <c r="E1073" s="11" t="n">
        <v>9</v>
      </c>
      <c r="F1073" s="11" t="n">
        <v>18</v>
      </c>
      <c r="G1073" s="11" t="n">
        <v>1</v>
      </c>
      <c r="H1073" s="13" t="n">
        <v>95</v>
      </c>
      <c r="I1073" s="16" t="n">
        <v>0</v>
      </c>
      <c r="J1073" s="13" t="n">
        <f aca="false">G1073*H1073</f>
        <v>95</v>
      </c>
      <c r="K1073" s="13" t="n">
        <f aca="false">J1073*(1-I1073)</f>
        <v>95</v>
      </c>
    </row>
    <row r="1074" customFormat="false" ht="15" hidden="false" customHeight="false" outlineLevel="0" collapsed="false">
      <c r="A1074" s="11" t="n">
        <v>1073</v>
      </c>
      <c r="B1074" s="15" t="n">
        <v>45991</v>
      </c>
      <c r="C1074" s="11" t="n">
        <v>4</v>
      </c>
      <c r="D1074" s="11" t="n">
        <v>8</v>
      </c>
      <c r="E1074" s="11" t="n">
        <v>36</v>
      </c>
      <c r="F1074" s="11" t="n">
        <v>13</v>
      </c>
      <c r="G1074" s="11" t="n">
        <v>1</v>
      </c>
      <c r="H1074" s="13" t="n">
        <v>32</v>
      </c>
      <c r="I1074" s="16" t="n">
        <v>0</v>
      </c>
      <c r="J1074" s="13" t="n">
        <f aca="false">G1074*H1074</f>
        <v>32</v>
      </c>
      <c r="K1074" s="13" t="n">
        <f aca="false">J1074*(1-I1074)</f>
        <v>32</v>
      </c>
    </row>
    <row r="1075" customFormat="false" ht="15" hidden="false" customHeight="false" outlineLevel="0" collapsed="false">
      <c r="A1075" s="11" t="n">
        <v>1074</v>
      </c>
      <c r="B1075" s="15" t="n">
        <v>45992</v>
      </c>
      <c r="C1075" s="11" t="n">
        <v>4</v>
      </c>
      <c r="D1075" s="11" t="n">
        <v>9</v>
      </c>
      <c r="E1075" s="11" t="n">
        <v>8</v>
      </c>
      <c r="F1075" s="11" t="n">
        <v>10</v>
      </c>
      <c r="G1075" s="11" t="n">
        <v>3</v>
      </c>
      <c r="H1075" s="13" t="n">
        <v>70</v>
      </c>
      <c r="I1075" s="16" t="n">
        <v>0</v>
      </c>
      <c r="J1075" s="13" t="n">
        <f aca="false">G1075*H1075</f>
        <v>210</v>
      </c>
      <c r="K1075" s="13" t="n">
        <f aca="false">J1075*(1-I1075)</f>
        <v>210</v>
      </c>
    </row>
    <row r="1076" customFormat="false" ht="15" hidden="false" customHeight="false" outlineLevel="0" collapsed="false">
      <c r="A1076" s="11" t="n">
        <v>1075</v>
      </c>
      <c r="B1076" s="15" t="n">
        <v>45992</v>
      </c>
      <c r="C1076" s="11" t="n">
        <v>3</v>
      </c>
      <c r="D1076" s="11" t="n">
        <v>7</v>
      </c>
      <c r="E1076" s="11" t="n">
        <v>11</v>
      </c>
      <c r="F1076" s="11" t="n">
        <v>15</v>
      </c>
      <c r="G1076" s="11" t="n">
        <v>3</v>
      </c>
      <c r="H1076" s="13" t="n">
        <v>65</v>
      </c>
      <c r="I1076" s="16" t="n">
        <v>0</v>
      </c>
      <c r="J1076" s="13" t="n">
        <f aca="false">G1076*H1076</f>
        <v>195</v>
      </c>
      <c r="K1076" s="13" t="n">
        <f aca="false">J1076*(1-I1076)</f>
        <v>195</v>
      </c>
    </row>
    <row r="1077" customFormat="false" ht="15" hidden="false" customHeight="false" outlineLevel="0" collapsed="false">
      <c r="A1077" s="11" t="n">
        <v>1076</v>
      </c>
      <c r="B1077" s="15" t="n">
        <v>45993</v>
      </c>
      <c r="C1077" s="11" t="n">
        <v>1</v>
      </c>
      <c r="D1077" s="11" t="n">
        <v>2</v>
      </c>
      <c r="E1077" s="11" t="n">
        <v>54</v>
      </c>
      <c r="F1077" s="11" t="n">
        <v>9</v>
      </c>
      <c r="G1077" s="11" t="n">
        <v>1</v>
      </c>
      <c r="H1077" s="13" t="n">
        <v>40</v>
      </c>
      <c r="I1077" s="16" t="n">
        <v>0</v>
      </c>
      <c r="J1077" s="13" t="n">
        <f aca="false">G1077*H1077</f>
        <v>40</v>
      </c>
      <c r="K1077" s="13" t="n">
        <f aca="false">J1077*(1-I1077)</f>
        <v>40</v>
      </c>
    </row>
    <row r="1078" customFormat="false" ht="15" hidden="false" customHeight="false" outlineLevel="0" collapsed="false">
      <c r="A1078" s="11" t="n">
        <v>1077</v>
      </c>
      <c r="B1078" s="15" t="n">
        <v>45993</v>
      </c>
      <c r="C1078" s="11" t="n">
        <v>2</v>
      </c>
      <c r="D1078" s="11" t="n">
        <v>4</v>
      </c>
      <c r="E1078" s="11" t="n">
        <v>19</v>
      </c>
      <c r="F1078" s="11" t="n">
        <v>12</v>
      </c>
      <c r="G1078" s="11" t="n">
        <v>1</v>
      </c>
      <c r="H1078" s="13" t="n">
        <v>45</v>
      </c>
      <c r="I1078" s="16" t="n">
        <v>0</v>
      </c>
      <c r="J1078" s="13" t="n">
        <f aca="false">G1078*H1078</f>
        <v>45</v>
      </c>
      <c r="K1078" s="13" t="n">
        <f aca="false">J1078*(1-I1078)</f>
        <v>45</v>
      </c>
    </row>
    <row r="1079" customFormat="false" ht="15" hidden="false" customHeight="false" outlineLevel="0" collapsed="false">
      <c r="A1079" s="11" t="n">
        <v>1078</v>
      </c>
      <c r="B1079" s="15" t="n">
        <v>45993</v>
      </c>
      <c r="C1079" s="11" t="n">
        <v>2</v>
      </c>
      <c r="D1079" s="11" t="n">
        <v>4</v>
      </c>
      <c r="E1079" s="11" t="n">
        <v>50</v>
      </c>
      <c r="F1079" s="11" t="n">
        <v>5</v>
      </c>
      <c r="G1079" s="11" t="n">
        <v>2</v>
      </c>
      <c r="H1079" s="13" t="n">
        <v>58</v>
      </c>
      <c r="I1079" s="16" t="n">
        <v>0.15</v>
      </c>
      <c r="J1079" s="13" t="n">
        <f aca="false">G1079*H1079</f>
        <v>116</v>
      </c>
      <c r="K1079" s="13" t="n">
        <f aca="false">J1079*(1-I1079)</f>
        <v>98.6</v>
      </c>
    </row>
    <row r="1080" customFormat="false" ht="15" hidden="false" customHeight="false" outlineLevel="0" collapsed="false">
      <c r="A1080" s="11" t="n">
        <v>1079</v>
      </c>
      <c r="B1080" s="15" t="n">
        <v>45993</v>
      </c>
      <c r="C1080" s="11" t="n">
        <v>1</v>
      </c>
      <c r="D1080" s="11" t="n">
        <v>2</v>
      </c>
      <c r="E1080" s="11" t="n">
        <v>59</v>
      </c>
      <c r="F1080" s="11" t="n">
        <v>20</v>
      </c>
      <c r="G1080" s="11" t="n">
        <v>1</v>
      </c>
      <c r="H1080" s="13" t="n">
        <v>88</v>
      </c>
      <c r="I1080" s="16" t="n">
        <v>0</v>
      </c>
      <c r="J1080" s="13" t="n">
        <f aca="false">G1080*H1080</f>
        <v>88</v>
      </c>
      <c r="K1080" s="13" t="n">
        <f aca="false">J1080*(1-I1080)</f>
        <v>88</v>
      </c>
    </row>
    <row r="1081" customFormat="false" ht="15" hidden="false" customHeight="false" outlineLevel="0" collapsed="false">
      <c r="A1081" s="11" t="n">
        <v>1080</v>
      </c>
      <c r="B1081" s="15" t="n">
        <v>45993</v>
      </c>
      <c r="C1081" s="11" t="n">
        <v>2</v>
      </c>
      <c r="D1081" s="11" t="n">
        <v>5</v>
      </c>
      <c r="E1081" s="11" t="n">
        <v>30</v>
      </c>
      <c r="F1081" s="11" t="n">
        <v>16</v>
      </c>
      <c r="G1081" s="11" t="n">
        <v>1</v>
      </c>
      <c r="H1081" s="13" t="n">
        <v>45</v>
      </c>
      <c r="I1081" s="16" t="n">
        <v>0</v>
      </c>
      <c r="J1081" s="13" t="n">
        <f aca="false">G1081*H1081</f>
        <v>45</v>
      </c>
      <c r="K1081" s="13" t="n">
        <f aca="false">J1081*(1-I1081)</f>
        <v>45</v>
      </c>
    </row>
    <row r="1082" customFormat="false" ht="15" hidden="false" customHeight="false" outlineLevel="0" collapsed="false">
      <c r="A1082" s="11" t="n">
        <v>1081</v>
      </c>
      <c r="B1082" s="15" t="n">
        <v>45994</v>
      </c>
      <c r="C1082" s="11" t="n">
        <v>1</v>
      </c>
      <c r="D1082" s="11" t="n">
        <v>1</v>
      </c>
      <c r="E1082" s="11" t="n">
        <v>6</v>
      </c>
      <c r="F1082" s="11" t="n">
        <v>14</v>
      </c>
      <c r="G1082" s="11" t="n">
        <v>1</v>
      </c>
      <c r="H1082" s="13" t="n">
        <v>38</v>
      </c>
      <c r="I1082" s="16" t="n">
        <v>0</v>
      </c>
      <c r="J1082" s="13" t="n">
        <f aca="false">G1082*H1082</f>
        <v>38</v>
      </c>
      <c r="K1082" s="13" t="n">
        <f aca="false">J1082*(1-I1082)</f>
        <v>38</v>
      </c>
    </row>
    <row r="1083" customFormat="false" ht="15" hidden="false" customHeight="false" outlineLevel="0" collapsed="false">
      <c r="A1083" s="11" t="n">
        <v>1082</v>
      </c>
      <c r="B1083" s="15" t="n">
        <v>45994</v>
      </c>
      <c r="C1083" s="11" t="n">
        <v>4</v>
      </c>
      <c r="D1083" s="11" t="n">
        <v>8</v>
      </c>
      <c r="E1083" s="11" t="n">
        <v>25</v>
      </c>
      <c r="F1083" s="11" t="n">
        <v>14</v>
      </c>
      <c r="G1083" s="11" t="n">
        <v>1</v>
      </c>
      <c r="H1083" s="13" t="n">
        <v>38</v>
      </c>
      <c r="I1083" s="16" t="n">
        <v>0</v>
      </c>
      <c r="J1083" s="13" t="n">
        <f aca="false">G1083*H1083</f>
        <v>38</v>
      </c>
      <c r="K1083" s="13" t="n">
        <f aca="false">J1083*(1-I1083)</f>
        <v>38</v>
      </c>
    </row>
    <row r="1084" customFormat="false" ht="15" hidden="false" customHeight="false" outlineLevel="0" collapsed="false">
      <c r="A1084" s="11" t="n">
        <v>1083</v>
      </c>
      <c r="B1084" s="15" t="n">
        <v>45994</v>
      </c>
      <c r="C1084" s="11" t="n">
        <v>1</v>
      </c>
      <c r="D1084" s="11" t="n">
        <v>3</v>
      </c>
      <c r="E1084" s="11" t="n">
        <v>10</v>
      </c>
      <c r="F1084" s="11" t="n">
        <v>12</v>
      </c>
      <c r="G1084" s="11" t="n">
        <v>1</v>
      </c>
      <c r="H1084" s="13" t="n">
        <v>45</v>
      </c>
      <c r="I1084" s="16" t="n">
        <v>0</v>
      </c>
      <c r="J1084" s="13" t="n">
        <f aca="false">G1084*H1084</f>
        <v>45</v>
      </c>
      <c r="K1084" s="13" t="n">
        <f aca="false">J1084*(1-I1084)</f>
        <v>45</v>
      </c>
    </row>
    <row r="1085" customFormat="false" ht="15" hidden="false" customHeight="false" outlineLevel="0" collapsed="false">
      <c r="A1085" s="11" t="n">
        <v>1084</v>
      </c>
      <c r="B1085" s="15" t="n">
        <v>45994</v>
      </c>
      <c r="C1085" s="11" t="n">
        <v>2</v>
      </c>
      <c r="D1085" s="11" t="n">
        <v>5</v>
      </c>
      <c r="E1085" s="11" t="n">
        <v>17</v>
      </c>
      <c r="F1085" s="11" t="n">
        <v>7</v>
      </c>
      <c r="G1085" s="11" t="n">
        <v>1</v>
      </c>
      <c r="H1085" s="13" t="n">
        <v>50</v>
      </c>
      <c r="I1085" s="16" t="n">
        <v>0</v>
      </c>
      <c r="J1085" s="13" t="n">
        <f aca="false">G1085*H1085</f>
        <v>50</v>
      </c>
      <c r="K1085" s="13" t="n">
        <f aca="false">J1085*(1-I1085)</f>
        <v>50</v>
      </c>
    </row>
    <row r="1086" customFormat="false" ht="15" hidden="false" customHeight="false" outlineLevel="0" collapsed="false">
      <c r="A1086" s="11" t="n">
        <v>1085</v>
      </c>
      <c r="B1086" s="15" t="n">
        <v>45994</v>
      </c>
      <c r="C1086" s="11" t="n">
        <v>4</v>
      </c>
      <c r="D1086" s="11" t="n">
        <v>8</v>
      </c>
      <c r="E1086" s="11" t="n">
        <v>22</v>
      </c>
      <c r="F1086" s="11" t="n">
        <v>6</v>
      </c>
      <c r="G1086" s="11" t="n">
        <v>1</v>
      </c>
      <c r="H1086" s="13" t="n">
        <v>62</v>
      </c>
      <c r="I1086" s="16" t="n">
        <v>0</v>
      </c>
      <c r="J1086" s="13" t="n">
        <f aca="false">G1086*H1086</f>
        <v>62</v>
      </c>
      <c r="K1086" s="13" t="n">
        <f aca="false">J1086*(1-I1086)</f>
        <v>62</v>
      </c>
    </row>
    <row r="1087" customFormat="false" ht="15" hidden="false" customHeight="false" outlineLevel="0" collapsed="false">
      <c r="A1087" s="11" t="n">
        <v>1086</v>
      </c>
      <c r="B1087" s="15" t="n">
        <v>45994</v>
      </c>
      <c r="C1087" s="11" t="n">
        <v>2</v>
      </c>
      <c r="D1087" s="11" t="n">
        <v>4</v>
      </c>
      <c r="E1087" s="11" t="n">
        <v>59</v>
      </c>
      <c r="F1087" s="11" t="n">
        <v>4</v>
      </c>
      <c r="G1087" s="11" t="n">
        <v>1</v>
      </c>
      <c r="H1087" s="13" t="n">
        <v>55</v>
      </c>
      <c r="I1087" s="16" t="n">
        <v>0</v>
      </c>
      <c r="J1087" s="13" t="n">
        <f aca="false">G1087*H1087</f>
        <v>55</v>
      </c>
      <c r="K1087" s="13" t="n">
        <f aca="false">J1087*(1-I1087)</f>
        <v>55</v>
      </c>
    </row>
    <row r="1088" customFormat="false" ht="15" hidden="false" customHeight="false" outlineLevel="0" collapsed="false">
      <c r="A1088" s="11" t="n">
        <v>1087</v>
      </c>
      <c r="B1088" s="15" t="n">
        <v>45995</v>
      </c>
      <c r="C1088" s="11" t="n">
        <v>2</v>
      </c>
      <c r="D1088" s="11" t="n">
        <v>5</v>
      </c>
      <c r="E1088" s="11" t="n">
        <v>43</v>
      </c>
      <c r="F1088" s="11" t="n">
        <v>17</v>
      </c>
      <c r="G1088" s="11" t="n">
        <v>5</v>
      </c>
      <c r="H1088" s="13" t="n">
        <v>28</v>
      </c>
      <c r="I1088" s="16" t="n">
        <v>0</v>
      </c>
      <c r="J1088" s="13" t="n">
        <f aca="false">G1088*H1088</f>
        <v>140</v>
      </c>
      <c r="K1088" s="13" t="n">
        <f aca="false">J1088*(1-I1088)</f>
        <v>140</v>
      </c>
    </row>
    <row r="1089" customFormat="false" ht="15" hidden="false" customHeight="false" outlineLevel="0" collapsed="false">
      <c r="A1089" s="11" t="n">
        <v>1088</v>
      </c>
      <c r="B1089" s="15" t="n">
        <v>45995</v>
      </c>
      <c r="C1089" s="11" t="n">
        <v>1</v>
      </c>
      <c r="D1089" s="11" t="n">
        <v>3</v>
      </c>
      <c r="E1089" s="11" t="n">
        <v>9</v>
      </c>
      <c r="F1089" s="11" t="n">
        <v>13</v>
      </c>
      <c r="G1089" s="11" t="n">
        <v>1</v>
      </c>
      <c r="H1089" s="13" t="n">
        <v>32</v>
      </c>
      <c r="I1089" s="16" t="n">
        <v>0</v>
      </c>
      <c r="J1089" s="13" t="n">
        <f aca="false">G1089*H1089</f>
        <v>32</v>
      </c>
      <c r="K1089" s="13" t="n">
        <f aca="false">J1089*(1-I1089)</f>
        <v>32</v>
      </c>
    </row>
    <row r="1090" customFormat="false" ht="15" hidden="false" customHeight="false" outlineLevel="0" collapsed="false">
      <c r="A1090" s="11" t="n">
        <v>1089</v>
      </c>
      <c r="B1090" s="15" t="n">
        <v>45995</v>
      </c>
      <c r="C1090" s="11" t="n">
        <v>1</v>
      </c>
      <c r="D1090" s="11" t="n">
        <v>3</v>
      </c>
      <c r="E1090" s="11" t="n">
        <v>58</v>
      </c>
      <c r="F1090" s="11" t="n">
        <v>17</v>
      </c>
      <c r="G1090" s="11" t="n">
        <v>1</v>
      </c>
      <c r="H1090" s="13" t="n">
        <v>28</v>
      </c>
      <c r="I1090" s="16" t="n">
        <v>0</v>
      </c>
      <c r="J1090" s="13" t="n">
        <f aca="false">G1090*H1090</f>
        <v>28</v>
      </c>
      <c r="K1090" s="13" t="n">
        <f aca="false">J1090*(1-I1090)</f>
        <v>28</v>
      </c>
    </row>
    <row r="1091" customFormat="false" ht="15" hidden="false" customHeight="false" outlineLevel="0" collapsed="false">
      <c r="A1091" s="11" t="n">
        <v>1090</v>
      </c>
      <c r="B1091" s="15" t="n">
        <v>45995</v>
      </c>
      <c r="C1091" s="11" t="n">
        <v>5</v>
      </c>
      <c r="D1091" s="11" t="n">
        <v>10</v>
      </c>
      <c r="E1091" s="11" t="n">
        <v>24</v>
      </c>
      <c r="F1091" s="11" t="n">
        <v>19</v>
      </c>
      <c r="G1091" s="11" t="n">
        <v>1</v>
      </c>
      <c r="H1091" s="13" t="n">
        <v>125</v>
      </c>
      <c r="I1091" s="16" t="n">
        <v>0</v>
      </c>
      <c r="J1091" s="13" t="n">
        <f aca="false">G1091*H1091</f>
        <v>125</v>
      </c>
      <c r="K1091" s="13" t="n">
        <f aca="false">J1091*(1-I1091)</f>
        <v>125</v>
      </c>
    </row>
    <row r="1092" customFormat="false" ht="15" hidden="false" customHeight="false" outlineLevel="0" collapsed="false">
      <c r="A1092" s="11" t="n">
        <v>1091</v>
      </c>
      <c r="B1092" s="15" t="n">
        <v>45995</v>
      </c>
      <c r="C1092" s="11" t="n">
        <v>4</v>
      </c>
      <c r="D1092" s="11" t="n">
        <v>8</v>
      </c>
      <c r="E1092" s="11" t="n">
        <v>2</v>
      </c>
      <c r="F1092" s="11" t="n">
        <v>9</v>
      </c>
      <c r="G1092" s="11" t="n">
        <v>2</v>
      </c>
      <c r="H1092" s="13" t="n">
        <v>40</v>
      </c>
      <c r="I1092" s="16" t="n">
        <v>0</v>
      </c>
      <c r="J1092" s="13" t="n">
        <f aca="false">G1092*H1092</f>
        <v>80</v>
      </c>
      <c r="K1092" s="13" t="n">
        <f aca="false">J1092*(1-I1092)</f>
        <v>80</v>
      </c>
    </row>
    <row r="1093" customFormat="false" ht="15" hidden="false" customHeight="false" outlineLevel="0" collapsed="false">
      <c r="A1093" s="11" t="n">
        <v>1092</v>
      </c>
      <c r="B1093" s="15" t="n">
        <v>45995</v>
      </c>
      <c r="C1093" s="11" t="n">
        <v>1</v>
      </c>
      <c r="D1093" s="11" t="n">
        <v>3</v>
      </c>
      <c r="E1093" s="11" t="n">
        <v>37</v>
      </c>
      <c r="F1093" s="11" t="n">
        <v>16</v>
      </c>
      <c r="G1093" s="11" t="n">
        <v>2</v>
      </c>
      <c r="H1093" s="13" t="n">
        <v>45</v>
      </c>
      <c r="I1093" s="16" t="n">
        <v>0</v>
      </c>
      <c r="J1093" s="13" t="n">
        <f aca="false">G1093*H1093</f>
        <v>90</v>
      </c>
      <c r="K1093" s="13" t="n">
        <f aca="false">J1093*(1-I1093)</f>
        <v>90</v>
      </c>
    </row>
    <row r="1094" customFormat="false" ht="15" hidden="false" customHeight="false" outlineLevel="0" collapsed="false">
      <c r="A1094" s="11" t="n">
        <v>1093</v>
      </c>
      <c r="B1094" s="15" t="n">
        <v>45996</v>
      </c>
      <c r="C1094" s="11" t="n">
        <v>1</v>
      </c>
      <c r="D1094" s="11" t="n">
        <v>1</v>
      </c>
      <c r="E1094" s="11" t="n">
        <v>48</v>
      </c>
      <c r="F1094" s="11" t="n">
        <v>18</v>
      </c>
      <c r="G1094" s="11" t="n">
        <v>1</v>
      </c>
      <c r="H1094" s="13" t="n">
        <v>95</v>
      </c>
      <c r="I1094" s="16" t="n">
        <v>0</v>
      </c>
      <c r="J1094" s="13" t="n">
        <f aca="false">G1094*H1094</f>
        <v>95</v>
      </c>
      <c r="K1094" s="13" t="n">
        <f aca="false">J1094*(1-I1094)</f>
        <v>95</v>
      </c>
    </row>
    <row r="1095" customFormat="false" ht="15" hidden="false" customHeight="false" outlineLevel="0" collapsed="false">
      <c r="A1095" s="11" t="n">
        <v>1094</v>
      </c>
      <c r="B1095" s="15" t="n">
        <v>45996</v>
      </c>
      <c r="C1095" s="11" t="n">
        <v>2</v>
      </c>
      <c r="D1095" s="11" t="n">
        <v>4</v>
      </c>
      <c r="E1095" s="11" t="n">
        <v>16</v>
      </c>
      <c r="F1095" s="11" t="n">
        <v>12</v>
      </c>
      <c r="G1095" s="11" t="n">
        <v>5</v>
      </c>
      <c r="H1095" s="13" t="n">
        <v>45</v>
      </c>
      <c r="I1095" s="16" t="n">
        <v>0</v>
      </c>
      <c r="J1095" s="13" t="n">
        <f aca="false">G1095*H1095</f>
        <v>225</v>
      </c>
      <c r="K1095" s="13" t="n">
        <f aca="false">J1095*(1-I1095)</f>
        <v>225</v>
      </c>
    </row>
    <row r="1096" customFormat="false" ht="15" hidden="false" customHeight="false" outlineLevel="0" collapsed="false">
      <c r="A1096" s="11" t="n">
        <v>1095</v>
      </c>
      <c r="B1096" s="15" t="n">
        <v>45996</v>
      </c>
      <c r="C1096" s="11" t="n">
        <v>2</v>
      </c>
      <c r="D1096" s="11" t="n">
        <v>4</v>
      </c>
      <c r="E1096" s="11" t="n">
        <v>35</v>
      </c>
      <c r="F1096" s="11" t="n">
        <v>10</v>
      </c>
      <c r="G1096" s="11" t="n">
        <v>1</v>
      </c>
      <c r="H1096" s="13" t="n">
        <v>70</v>
      </c>
      <c r="I1096" s="16" t="n">
        <v>0</v>
      </c>
      <c r="J1096" s="13" t="n">
        <f aca="false">G1096*H1096</f>
        <v>70</v>
      </c>
      <c r="K1096" s="13" t="n">
        <f aca="false">J1096*(1-I1096)</f>
        <v>70</v>
      </c>
    </row>
    <row r="1097" customFormat="false" ht="15" hidden="false" customHeight="false" outlineLevel="0" collapsed="false">
      <c r="A1097" s="11" t="n">
        <v>1096</v>
      </c>
      <c r="B1097" s="15" t="n">
        <v>45996</v>
      </c>
      <c r="C1097" s="11" t="n">
        <v>5</v>
      </c>
      <c r="D1097" s="11" t="n">
        <v>10</v>
      </c>
      <c r="E1097" s="11" t="n">
        <v>37</v>
      </c>
      <c r="F1097" s="11" t="n">
        <v>20</v>
      </c>
      <c r="G1097" s="11" t="n">
        <v>3</v>
      </c>
      <c r="H1097" s="13" t="n">
        <v>88</v>
      </c>
      <c r="I1097" s="16" t="n">
        <v>0</v>
      </c>
      <c r="J1097" s="13" t="n">
        <f aca="false">G1097*H1097</f>
        <v>264</v>
      </c>
      <c r="K1097" s="13" t="n">
        <f aca="false">J1097*(1-I1097)</f>
        <v>264</v>
      </c>
    </row>
    <row r="1098" customFormat="false" ht="15" hidden="false" customHeight="false" outlineLevel="0" collapsed="false">
      <c r="A1098" s="11" t="n">
        <v>1097</v>
      </c>
      <c r="B1098" s="15" t="n">
        <v>45997</v>
      </c>
      <c r="C1098" s="11" t="n">
        <v>4</v>
      </c>
      <c r="D1098" s="11" t="n">
        <v>8</v>
      </c>
      <c r="E1098" s="11" t="n">
        <v>47</v>
      </c>
      <c r="F1098" s="11" t="n">
        <v>15</v>
      </c>
      <c r="G1098" s="11" t="n">
        <v>4</v>
      </c>
      <c r="H1098" s="13" t="n">
        <v>65</v>
      </c>
      <c r="I1098" s="16" t="n">
        <v>0</v>
      </c>
      <c r="J1098" s="13" t="n">
        <f aca="false">G1098*H1098</f>
        <v>260</v>
      </c>
      <c r="K1098" s="13" t="n">
        <f aca="false">J1098*(1-I1098)</f>
        <v>260</v>
      </c>
    </row>
    <row r="1099" customFormat="false" ht="15" hidden="false" customHeight="false" outlineLevel="0" collapsed="false">
      <c r="A1099" s="11" t="n">
        <v>1098</v>
      </c>
      <c r="B1099" s="15" t="n">
        <v>45997</v>
      </c>
      <c r="C1099" s="11" t="n">
        <v>1</v>
      </c>
      <c r="D1099" s="11" t="n">
        <v>3</v>
      </c>
      <c r="E1099" s="11" t="n">
        <v>31</v>
      </c>
      <c r="F1099" s="11" t="n">
        <v>19</v>
      </c>
      <c r="G1099" s="11" t="n">
        <v>2</v>
      </c>
      <c r="H1099" s="13" t="n">
        <v>125</v>
      </c>
      <c r="I1099" s="16" t="n">
        <v>0</v>
      </c>
      <c r="J1099" s="13" t="n">
        <f aca="false">G1099*H1099</f>
        <v>250</v>
      </c>
      <c r="K1099" s="13" t="n">
        <f aca="false">J1099*(1-I1099)</f>
        <v>250</v>
      </c>
    </row>
    <row r="1100" customFormat="false" ht="15" hidden="false" customHeight="false" outlineLevel="0" collapsed="false">
      <c r="A1100" s="11" t="n">
        <v>1099</v>
      </c>
      <c r="B1100" s="15" t="n">
        <v>45998</v>
      </c>
      <c r="C1100" s="11" t="n">
        <v>4</v>
      </c>
      <c r="D1100" s="11" t="n">
        <v>8</v>
      </c>
      <c r="E1100" s="11" t="n">
        <v>22</v>
      </c>
      <c r="F1100" s="11" t="n">
        <v>3</v>
      </c>
      <c r="G1100" s="11" t="n">
        <v>1</v>
      </c>
      <c r="H1100" s="13" t="n">
        <v>38</v>
      </c>
      <c r="I1100" s="16" t="n">
        <v>0</v>
      </c>
      <c r="J1100" s="13" t="n">
        <f aca="false">G1100*H1100</f>
        <v>38</v>
      </c>
      <c r="K1100" s="13" t="n">
        <f aca="false">J1100*(1-I1100)</f>
        <v>38</v>
      </c>
    </row>
    <row r="1101" customFormat="false" ht="15" hidden="false" customHeight="false" outlineLevel="0" collapsed="false">
      <c r="A1101" s="11" t="n">
        <v>1100</v>
      </c>
      <c r="B1101" s="15" t="n">
        <v>45998</v>
      </c>
      <c r="C1101" s="11" t="n">
        <v>1</v>
      </c>
      <c r="D1101" s="11" t="n">
        <v>2</v>
      </c>
      <c r="E1101" s="11" t="n">
        <v>6</v>
      </c>
      <c r="F1101" s="11" t="n">
        <v>12</v>
      </c>
      <c r="G1101" s="11" t="n">
        <v>1</v>
      </c>
      <c r="H1101" s="13" t="n">
        <v>45</v>
      </c>
      <c r="I1101" s="16" t="n">
        <v>0</v>
      </c>
      <c r="J1101" s="13" t="n">
        <f aca="false">G1101*H1101</f>
        <v>45</v>
      </c>
      <c r="K1101" s="13" t="n">
        <f aca="false">J1101*(1-I1101)</f>
        <v>45</v>
      </c>
    </row>
    <row r="1102" customFormat="false" ht="15" hidden="false" customHeight="false" outlineLevel="0" collapsed="false">
      <c r="A1102" s="11" t="n">
        <v>1101</v>
      </c>
      <c r="B1102" s="15" t="n">
        <v>45998</v>
      </c>
      <c r="C1102" s="11" t="n">
        <v>1</v>
      </c>
      <c r="D1102" s="11" t="n">
        <v>3</v>
      </c>
      <c r="E1102" s="11" t="n">
        <v>13</v>
      </c>
      <c r="F1102" s="11" t="n">
        <v>1</v>
      </c>
      <c r="G1102" s="11" t="n">
        <v>1</v>
      </c>
      <c r="H1102" s="13" t="n">
        <v>35</v>
      </c>
      <c r="I1102" s="16" t="n">
        <v>0.05</v>
      </c>
      <c r="J1102" s="13" t="n">
        <f aca="false">G1102*H1102</f>
        <v>35</v>
      </c>
      <c r="K1102" s="13" t="n">
        <f aca="false">J1102*(1-I1102)</f>
        <v>33.25</v>
      </c>
    </row>
    <row r="1103" customFormat="false" ht="15" hidden="false" customHeight="false" outlineLevel="0" collapsed="false">
      <c r="A1103" s="11" t="n">
        <v>1102</v>
      </c>
      <c r="B1103" s="15" t="n">
        <v>45999</v>
      </c>
      <c r="C1103" s="11" t="n">
        <v>4</v>
      </c>
      <c r="D1103" s="11" t="n">
        <v>9</v>
      </c>
      <c r="E1103" s="11" t="n">
        <v>60</v>
      </c>
      <c r="F1103" s="11" t="n">
        <v>1</v>
      </c>
      <c r="G1103" s="11" t="n">
        <v>1</v>
      </c>
      <c r="H1103" s="13" t="n">
        <v>35</v>
      </c>
      <c r="I1103" s="16" t="n">
        <v>0</v>
      </c>
      <c r="J1103" s="13" t="n">
        <f aca="false">G1103*H1103</f>
        <v>35</v>
      </c>
      <c r="K1103" s="13" t="n">
        <f aca="false">J1103*(1-I1103)</f>
        <v>35</v>
      </c>
    </row>
    <row r="1104" customFormat="false" ht="15" hidden="false" customHeight="false" outlineLevel="0" collapsed="false">
      <c r="A1104" s="11" t="n">
        <v>1103</v>
      </c>
      <c r="B1104" s="15" t="n">
        <v>45999</v>
      </c>
      <c r="C1104" s="11" t="n">
        <v>2</v>
      </c>
      <c r="D1104" s="11" t="n">
        <v>5</v>
      </c>
      <c r="E1104" s="11" t="n">
        <v>55</v>
      </c>
      <c r="F1104" s="11" t="n">
        <v>3</v>
      </c>
      <c r="G1104" s="11" t="n">
        <v>1</v>
      </c>
      <c r="H1104" s="13" t="n">
        <v>38</v>
      </c>
      <c r="I1104" s="16" t="n">
        <v>0</v>
      </c>
      <c r="J1104" s="13" t="n">
        <f aca="false">G1104*H1104</f>
        <v>38</v>
      </c>
      <c r="K1104" s="13" t="n">
        <f aca="false">J1104*(1-I1104)</f>
        <v>38</v>
      </c>
    </row>
    <row r="1105" customFormat="false" ht="15" hidden="false" customHeight="false" outlineLevel="0" collapsed="false">
      <c r="A1105" s="11" t="n">
        <v>1104</v>
      </c>
      <c r="B1105" s="15" t="n">
        <v>45999</v>
      </c>
      <c r="C1105" s="11" t="n">
        <v>3</v>
      </c>
      <c r="D1105" s="11" t="n">
        <v>6</v>
      </c>
      <c r="E1105" s="11" t="n">
        <v>7</v>
      </c>
      <c r="F1105" s="11" t="n">
        <v>14</v>
      </c>
      <c r="G1105" s="11" t="n">
        <v>1</v>
      </c>
      <c r="H1105" s="13" t="n">
        <v>38</v>
      </c>
      <c r="I1105" s="16" t="n">
        <v>0</v>
      </c>
      <c r="J1105" s="13" t="n">
        <f aca="false">G1105*H1105</f>
        <v>38</v>
      </c>
      <c r="K1105" s="13" t="n">
        <f aca="false">J1105*(1-I1105)</f>
        <v>38</v>
      </c>
    </row>
    <row r="1106" customFormat="false" ht="15" hidden="false" customHeight="false" outlineLevel="0" collapsed="false">
      <c r="A1106" s="11" t="n">
        <v>1105</v>
      </c>
      <c r="B1106" s="15" t="n">
        <v>45999</v>
      </c>
      <c r="C1106" s="11" t="n">
        <v>3</v>
      </c>
      <c r="D1106" s="11" t="n">
        <v>6</v>
      </c>
      <c r="E1106" s="11" t="n">
        <v>44</v>
      </c>
      <c r="F1106" s="11" t="n">
        <v>13</v>
      </c>
      <c r="G1106" s="11" t="n">
        <v>1</v>
      </c>
      <c r="H1106" s="13" t="n">
        <v>32</v>
      </c>
      <c r="I1106" s="16" t="n">
        <v>0</v>
      </c>
      <c r="J1106" s="13" t="n">
        <f aca="false">G1106*H1106</f>
        <v>32</v>
      </c>
      <c r="K1106" s="13" t="n">
        <f aca="false">J1106*(1-I1106)</f>
        <v>32</v>
      </c>
    </row>
    <row r="1107" customFormat="false" ht="15" hidden="false" customHeight="false" outlineLevel="0" collapsed="false">
      <c r="A1107" s="11" t="n">
        <v>1106</v>
      </c>
      <c r="B1107" s="15" t="n">
        <v>45999</v>
      </c>
      <c r="C1107" s="11" t="n">
        <v>3</v>
      </c>
      <c r="D1107" s="11" t="n">
        <v>6</v>
      </c>
      <c r="E1107" s="11" t="n">
        <v>22</v>
      </c>
      <c r="F1107" s="11" t="n">
        <v>18</v>
      </c>
      <c r="G1107" s="11" t="n">
        <v>1</v>
      </c>
      <c r="H1107" s="13" t="n">
        <v>95</v>
      </c>
      <c r="I1107" s="16" t="n">
        <v>0</v>
      </c>
      <c r="J1107" s="13" t="n">
        <f aca="false">G1107*H1107</f>
        <v>95</v>
      </c>
      <c r="K1107" s="13" t="n">
        <f aca="false">J1107*(1-I1107)</f>
        <v>95</v>
      </c>
    </row>
    <row r="1108" customFormat="false" ht="15" hidden="false" customHeight="false" outlineLevel="0" collapsed="false">
      <c r="A1108" s="11" t="n">
        <v>1107</v>
      </c>
      <c r="B1108" s="15" t="n">
        <v>46000</v>
      </c>
      <c r="C1108" s="11" t="n">
        <v>3</v>
      </c>
      <c r="D1108" s="11" t="n">
        <v>7</v>
      </c>
      <c r="E1108" s="11" t="n">
        <v>30</v>
      </c>
      <c r="F1108" s="11" t="n">
        <v>14</v>
      </c>
      <c r="G1108" s="11" t="n">
        <v>3</v>
      </c>
      <c r="H1108" s="13" t="n">
        <v>38</v>
      </c>
      <c r="I1108" s="16" t="n">
        <v>0</v>
      </c>
      <c r="J1108" s="13" t="n">
        <f aca="false">G1108*H1108</f>
        <v>114</v>
      </c>
      <c r="K1108" s="13" t="n">
        <f aca="false">J1108*(1-I1108)</f>
        <v>114</v>
      </c>
    </row>
    <row r="1109" customFormat="false" ht="15" hidden="false" customHeight="false" outlineLevel="0" collapsed="false">
      <c r="A1109" s="11" t="n">
        <v>1108</v>
      </c>
      <c r="B1109" s="15" t="n">
        <v>46000</v>
      </c>
      <c r="C1109" s="11" t="n">
        <v>2</v>
      </c>
      <c r="D1109" s="11" t="n">
        <v>5</v>
      </c>
      <c r="E1109" s="11" t="n">
        <v>29</v>
      </c>
      <c r="F1109" s="11" t="n">
        <v>13</v>
      </c>
      <c r="G1109" s="11" t="n">
        <v>1</v>
      </c>
      <c r="H1109" s="13" t="n">
        <v>32</v>
      </c>
      <c r="I1109" s="16" t="n">
        <v>0</v>
      </c>
      <c r="J1109" s="13" t="n">
        <f aca="false">G1109*H1109</f>
        <v>32</v>
      </c>
      <c r="K1109" s="13" t="n">
        <f aca="false">J1109*(1-I1109)</f>
        <v>32</v>
      </c>
    </row>
    <row r="1110" customFormat="false" ht="15" hidden="false" customHeight="false" outlineLevel="0" collapsed="false">
      <c r="A1110" s="11" t="n">
        <v>1109</v>
      </c>
      <c r="B1110" s="15" t="n">
        <v>46000</v>
      </c>
      <c r="C1110" s="11" t="n">
        <v>5</v>
      </c>
      <c r="D1110" s="11" t="n">
        <v>10</v>
      </c>
      <c r="E1110" s="11" t="n">
        <v>12</v>
      </c>
      <c r="F1110" s="11" t="n">
        <v>11</v>
      </c>
      <c r="G1110" s="11" t="n">
        <v>2</v>
      </c>
      <c r="H1110" s="13" t="n">
        <v>72</v>
      </c>
      <c r="I1110" s="16" t="n">
        <v>0.05</v>
      </c>
      <c r="J1110" s="13" t="n">
        <f aca="false">G1110*H1110</f>
        <v>144</v>
      </c>
      <c r="K1110" s="13" t="n">
        <f aca="false">J1110*(1-I1110)</f>
        <v>136.8</v>
      </c>
    </row>
    <row r="1111" customFormat="false" ht="15" hidden="false" customHeight="false" outlineLevel="0" collapsed="false">
      <c r="A1111" s="11" t="n">
        <v>1110</v>
      </c>
      <c r="B1111" s="15" t="n">
        <v>46000</v>
      </c>
      <c r="C1111" s="11" t="n">
        <v>1</v>
      </c>
      <c r="D1111" s="11" t="n">
        <v>1</v>
      </c>
      <c r="E1111" s="11" t="n">
        <v>35</v>
      </c>
      <c r="F1111" s="11" t="n">
        <v>15</v>
      </c>
      <c r="G1111" s="11" t="n">
        <v>2</v>
      </c>
      <c r="H1111" s="13" t="n">
        <v>65</v>
      </c>
      <c r="I1111" s="16" t="n">
        <v>0.1</v>
      </c>
      <c r="J1111" s="13" t="n">
        <f aca="false">G1111*H1111</f>
        <v>130</v>
      </c>
      <c r="K1111" s="13" t="n">
        <f aca="false">J1111*(1-I1111)</f>
        <v>117</v>
      </c>
    </row>
    <row r="1112" customFormat="false" ht="15" hidden="false" customHeight="false" outlineLevel="0" collapsed="false">
      <c r="A1112" s="11" t="n">
        <v>1111</v>
      </c>
      <c r="B1112" s="15" t="n">
        <v>46001</v>
      </c>
      <c r="C1112" s="11" t="n">
        <v>3</v>
      </c>
      <c r="D1112" s="11" t="n">
        <v>7</v>
      </c>
      <c r="E1112" s="11" t="n">
        <v>27</v>
      </c>
      <c r="F1112" s="11" t="n">
        <v>16</v>
      </c>
      <c r="G1112" s="11" t="n">
        <v>5</v>
      </c>
      <c r="H1112" s="13" t="n">
        <v>45</v>
      </c>
      <c r="I1112" s="16" t="n">
        <v>0</v>
      </c>
      <c r="J1112" s="13" t="n">
        <f aca="false">G1112*H1112</f>
        <v>225</v>
      </c>
      <c r="K1112" s="13" t="n">
        <f aca="false">J1112*(1-I1112)</f>
        <v>225</v>
      </c>
    </row>
    <row r="1113" customFormat="false" ht="15" hidden="false" customHeight="false" outlineLevel="0" collapsed="false">
      <c r="A1113" s="11" t="n">
        <v>1112</v>
      </c>
      <c r="B1113" s="15" t="n">
        <v>46001</v>
      </c>
      <c r="C1113" s="11" t="n">
        <v>2</v>
      </c>
      <c r="D1113" s="11" t="n">
        <v>5</v>
      </c>
      <c r="E1113" s="11" t="n">
        <v>57</v>
      </c>
      <c r="F1113" s="11" t="n">
        <v>5</v>
      </c>
      <c r="G1113" s="11" t="n">
        <v>3</v>
      </c>
      <c r="H1113" s="13" t="n">
        <v>58</v>
      </c>
      <c r="I1113" s="16" t="n">
        <v>0</v>
      </c>
      <c r="J1113" s="13" t="n">
        <f aca="false">G1113*H1113</f>
        <v>174</v>
      </c>
      <c r="K1113" s="13" t="n">
        <f aca="false">J1113*(1-I1113)</f>
        <v>174</v>
      </c>
    </row>
    <row r="1114" customFormat="false" ht="15" hidden="false" customHeight="false" outlineLevel="0" collapsed="false">
      <c r="A1114" s="11" t="n">
        <v>1113</v>
      </c>
      <c r="B1114" s="15" t="n">
        <v>46001</v>
      </c>
      <c r="C1114" s="11" t="n">
        <v>3</v>
      </c>
      <c r="D1114" s="11" t="n">
        <v>7</v>
      </c>
      <c r="E1114" s="11" t="n">
        <v>45</v>
      </c>
      <c r="F1114" s="11" t="n">
        <v>4</v>
      </c>
      <c r="G1114" s="11" t="n">
        <v>1</v>
      </c>
      <c r="H1114" s="13" t="n">
        <v>55</v>
      </c>
      <c r="I1114" s="16" t="n">
        <v>0</v>
      </c>
      <c r="J1114" s="13" t="n">
        <f aca="false">G1114*H1114</f>
        <v>55</v>
      </c>
      <c r="K1114" s="13" t="n">
        <f aca="false">J1114*(1-I1114)</f>
        <v>55</v>
      </c>
    </row>
    <row r="1115" customFormat="false" ht="15" hidden="false" customHeight="false" outlineLevel="0" collapsed="false">
      <c r="A1115" s="11" t="n">
        <v>1114</v>
      </c>
      <c r="B1115" s="15" t="n">
        <v>46001</v>
      </c>
      <c r="C1115" s="11" t="n">
        <v>2</v>
      </c>
      <c r="D1115" s="11" t="n">
        <v>4</v>
      </c>
      <c r="E1115" s="11" t="n">
        <v>37</v>
      </c>
      <c r="F1115" s="11" t="n">
        <v>5</v>
      </c>
      <c r="G1115" s="11" t="n">
        <v>1</v>
      </c>
      <c r="H1115" s="13" t="n">
        <v>58</v>
      </c>
      <c r="I1115" s="16" t="n">
        <v>0</v>
      </c>
      <c r="J1115" s="13" t="n">
        <f aca="false">G1115*H1115</f>
        <v>58</v>
      </c>
      <c r="K1115" s="13" t="n">
        <f aca="false">J1115*(1-I1115)</f>
        <v>58</v>
      </c>
    </row>
    <row r="1116" customFormat="false" ht="15" hidden="false" customHeight="false" outlineLevel="0" collapsed="false">
      <c r="A1116" s="11" t="n">
        <v>1115</v>
      </c>
      <c r="B1116" s="15" t="n">
        <v>46001</v>
      </c>
      <c r="C1116" s="11" t="n">
        <v>4</v>
      </c>
      <c r="D1116" s="11" t="n">
        <v>9</v>
      </c>
      <c r="E1116" s="11" t="n">
        <v>9</v>
      </c>
      <c r="F1116" s="11" t="n">
        <v>19</v>
      </c>
      <c r="G1116" s="11" t="n">
        <v>1</v>
      </c>
      <c r="H1116" s="13" t="n">
        <v>125</v>
      </c>
      <c r="I1116" s="16" t="n">
        <v>0</v>
      </c>
      <c r="J1116" s="13" t="n">
        <f aca="false">G1116*H1116</f>
        <v>125</v>
      </c>
      <c r="K1116" s="13" t="n">
        <f aca="false">J1116*(1-I1116)</f>
        <v>125</v>
      </c>
    </row>
    <row r="1117" customFormat="false" ht="15" hidden="false" customHeight="false" outlineLevel="0" collapsed="false">
      <c r="A1117" s="11" t="n">
        <v>1116</v>
      </c>
      <c r="B1117" s="15" t="n">
        <v>46002</v>
      </c>
      <c r="C1117" s="11" t="n">
        <v>4</v>
      </c>
      <c r="D1117" s="11" t="n">
        <v>8</v>
      </c>
      <c r="E1117" s="11" t="n">
        <v>36</v>
      </c>
      <c r="F1117" s="11" t="n">
        <v>18</v>
      </c>
      <c r="G1117" s="11" t="n">
        <v>1</v>
      </c>
      <c r="H1117" s="13" t="n">
        <v>95</v>
      </c>
      <c r="I1117" s="16" t="n">
        <v>0</v>
      </c>
      <c r="J1117" s="13" t="n">
        <f aca="false">G1117*H1117</f>
        <v>95</v>
      </c>
      <c r="K1117" s="13" t="n">
        <f aca="false">J1117*(1-I1117)</f>
        <v>95</v>
      </c>
    </row>
    <row r="1118" customFormat="false" ht="15" hidden="false" customHeight="false" outlineLevel="0" collapsed="false">
      <c r="A1118" s="11" t="n">
        <v>1117</v>
      </c>
      <c r="B1118" s="15" t="n">
        <v>46002</v>
      </c>
      <c r="C1118" s="11" t="n">
        <v>1</v>
      </c>
      <c r="D1118" s="11" t="n">
        <v>1</v>
      </c>
      <c r="E1118" s="11" t="n">
        <v>37</v>
      </c>
      <c r="F1118" s="11" t="n">
        <v>12</v>
      </c>
      <c r="G1118" s="11" t="n">
        <v>1</v>
      </c>
      <c r="H1118" s="13" t="n">
        <v>45</v>
      </c>
      <c r="I1118" s="16" t="n">
        <v>0</v>
      </c>
      <c r="J1118" s="13" t="n">
        <f aca="false">G1118*H1118</f>
        <v>45</v>
      </c>
      <c r="K1118" s="13" t="n">
        <f aca="false">J1118*(1-I1118)</f>
        <v>45</v>
      </c>
    </row>
    <row r="1119" customFormat="false" ht="15" hidden="false" customHeight="false" outlineLevel="0" collapsed="false">
      <c r="A1119" s="11" t="n">
        <v>1118</v>
      </c>
      <c r="B1119" s="15" t="n">
        <v>46002</v>
      </c>
      <c r="C1119" s="11" t="n">
        <v>3</v>
      </c>
      <c r="D1119" s="11" t="n">
        <v>6</v>
      </c>
      <c r="E1119" s="11" t="n">
        <v>58</v>
      </c>
      <c r="F1119" s="11" t="n">
        <v>14</v>
      </c>
      <c r="G1119" s="11" t="n">
        <v>3</v>
      </c>
      <c r="H1119" s="13" t="n">
        <v>38</v>
      </c>
      <c r="I1119" s="16" t="n">
        <v>0</v>
      </c>
      <c r="J1119" s="13" t="n">
        <f aca="false">G1119*H1119</f>
        <v>114</v>
      </c>
      <c r="K1119" s="13" t="n">
        <f aca="false">J1119*(1-I1119)</f>
        <v>114</v>
      </c>
    </row>
    <row r="1120" customFormat="false" ht="15" hidden="false" customHeight="false" outlineLevel="0" collapsed="false">
      <c r="A1120" s="11" t="n">
        <v>1119</v>
      </c>
      <c r="B1120" s="15" t="n">
        <v>46003</v>
      </c>
      <c r="C1120" s="11" t="n">
        <v>1</v>
      </c>
      <c r="D1120" s="11" t="n">
        <v>1</v>
      </c>
      <c r="E1120" s="11" t="n">
        <v>37</v>
      </c>
      <c r="F1120" s="11" t="n">
        <v>13</v>
      </c>
      <c r="G1120" s="11" t="n">
        <v>1</v>
      </c>
      <c r="H1120" s="13" t="n">
        <v>32</v>
      </c>
      <c r="I1120" s="16" t="n">
        <v>0</v>
      </c>
      <c r="J1120" s="13" t="n">
        <f aca="false">G1120*H1120</f>
        <v>32</v>
      </c>
      <c r="K1120" s="13" t="n">
        <f aca="false">J1120*(1-I1120)</f>
        <v>32</v>
      </c>
    </row>
    <row r="1121" customFormat="false" ht="15" hidden="false" customHeight="false" outlineLevel="0" collapsed="false">
      <c r="A1121" s="11" t="n">
        <v>1120</v>
      </c>
      <c r="B1121" s="15" t="n">
        <v>46003</v>
      </c>
      <c r="C1121" s="11" t="n">
        <v>3</v>
      </c>
      <c r="D1121" s="11" t="n">
        <v>6</v>
      </c>
      <c r="E1121" s="11" t="n">
        <v>9</v>
      </c>
      <c r="F1121" s="11" t="n">
        <v>16</v>
      </c>
      <c r="G1121" s="11" t="n">
        <v>1</v>
      </c>
      <c r="H1121" s="13" t="n">
        <v>45</v>
      </c>
      <c r="I1121" s="16" t="n">
        <v>0</v>
      </c>
      <c r="J1121" s="13" t="n">
        <f aca="false">G1121*H1121</f>
        <v>45</v>
      </c>
      <c r="K1121" s="13" t="n">
        <f aca="false">J1121*(1-I1121)</f>
        <v>45</v>
      </c>
    </row>
    <row r="1122" customFormat="false" ht="15" hidden="false" customHeight="false" outlineLevel="0" collapsed="false">
      <c r="A1122" s="11" t="n">
        <v>1121</v>
      </c>
      <c r="B1122" s="15" t="n">
        <v>46003</v>
      </c>
      <c r="C1122" s="11" t="n">
        <v>4</v>
      </c>
      <c r="D1122" s="11" t="n">
        <v>9</v>
      </c>
      <c r="E1122" s="11" t="n">
        <v>11</v>
      </c>
      <c r="F1122" s="11" t="n">
        <v>2</v>
      </c>
      <c r="G1122" s="11" t="n">
        <v>1</v>
      </c>
      <c r="H1122" s="13" t="n">
        <v>45</v>
      </c>
      <c r="I1122" s="16" t="n">
        <v>0.1</v>
      </c>
      <c r="J1122" s="13" t="n">
        <f aca="false">G1122*H1122</f>
        <v>45</v>
      </c>
      <c r="K1122" s="13" t="n">
        <f aca="false">J1122*(1-I1122)</f>
        <v>40.5</v>
      </c>
    </row>
    <row r="1123" customFormat="false" ht="15" hidden="false" customHeight="false" outlineLevel="0" collapsed="false">
      <c r="A1123" s="11" t="n">
        <v>1122</v>
      </c>
      <c r="B1123" s="15" t="n">
        <v>46003</v>
      </c>
      <c r="C1123" s="11" t="n">
        <v>4</v>
      </c>
      <c r="D1123" s="11" t="n">
        <v>9</v>
      </c>
      <c r="E1123" s="11" t="n">
        <v>44</v>
      </c>
      <c r="F1123" s="11" t="n">
        <v>6</v>
      </c>
      <c r="G1123" s="11" t="n">
        <v>1</v>
      </c>
      <c r="H1123" s="13" t="n">
        <v>62</v>
      </c>
      <c r="I1123" s="16" t="n">
        <v>0.05</v>
      </c>
      <c r="J1123" s="13" t="n">
        <f aca="false">G1123*H1123</f>
        <v>62</v>
      </c>
      <c r="K1123" s="13" t="n">
        <f aca="false">J1123*(1-I1123)</f>
        <v>58.9</v>
      </c>
    </row>
    <row r="1124" customFormat="false" ht="15" hidden="false" customHeight="false" outlineLevel="0" collapsed="false">
      <c r="A1124" s="11" t="n">
        <v>1123</v>
      </c>
      <c r="B1124" s="15" t="n">
        <v>46003</v>
      </c>
      <c r="C1124" s="11" t="n">
        <v>1</v>
      </c>
      <c r="D1124" s="11" t="n">
        <v>2</v>
      </c>
      <c r="E1124" s="11" t="n">
        <v>2</v>
      </c>
      <c r="F1124" s="11" t="n">
        <v>18</v>
      </c>
      <c r="G1124" s="11" t="n">
        <v>1</v>
      </c>
      <c r="H1124" s="13" t="n">
        <v>95</v>
      </c>
      <c r="I1124" s="16" t="n">
        <v>0</v>
      </c>
      <c r="J1124" s="13" t="n">
        <f aca="false">G1124*H1124</f>
        <v>95</v>
      </c>
      <c r="K1124" s="13" t="n">
        <f aca="false">J1124*(1-I1124)</f>
        <v>95</v>
      </c>
    </row>
    <row r="1125" customFormat="false" ht="15" hidden="false" customHeight="false" outlineLevel="0" collapsed="false">
      <c r="A1125" s="11" t="n">
        <v>1124</v>
      </c>
      <c r="B1125" s="15" t="n">
        <v>46003</v>
      </c>
      <c r="C1125" s="11" t="n">
        <v>3</v>
      </c>
      <c r="D1125" s="11" t="n">
        <v>6</v>
      </c>
      <c r="E1125" s="11" t="n">
        <v>45</v>
      </c>
      <c r="F1125" s="11" t="n">
        <v>4</v>
      </c>
      <c r="G1125" s="11" t="n">
        <v>2</v>
      </c>
      <c r="H1125" s="13" t="n">
        <v>55</v>
      </c>
      <c r="I1125" s="16" t="n">
        <v>0</v>
      </c>
      <c r="J1125" s="13" t="n">
        <f aca="false">G1125*H1125</f>
        <v>110</v>
      </c>
      <c r="K1125" s="13" t="n">
        <f aca="false">J1125*(1-I1125)</f>
        <v>110</v>
      </c>
    </row>
    <row r="1126" customFormat="false" ht="15" hidden="false" customHeight="false" outlineLevel="0" collapsed="false">
      <c r="A1126" s="11" t="n">
        <v>1125</v>
      </c>
      <c r="B1126" s="15" t="n">
        <v>46004</v>
      </c>
      <c r="C1126" s="11" t="n">
        <v>4</v>
      </c>
      <c r="D1126" s="11" t="n">
        <v>8</v>
      </c>
      <c r="E1126" s="11" t="n">
        <v>19</v>
      </c>
      <c r="F1126" s="11" t="n">
        <v>2</v>
      </c>
      <c r="G1126" s="11" t="n">
        <v>1</v>
      </c>
      <c r="H1126" s="13" t="n">
        <v>45</v>
      </c>
      <c r="I1126" s="16" t="n">
        <v>0</v>
      </c>
      <c r="J1126" s="13" t="n">
        <f aca="false">G1126*H1126</f>
        <v>45</v>
      </c>
      <c r="K1126" s="13" t="n">
        <f aca="false">J1126*(1-I1126)</f>
        <v>45</v>
      </c>
    </row>
    <row r="1127" customFormat="false" ht="15" hidden="false" customHeight="false" outlineLevel="0" collapsed="false">
      <c r="A1127" s="11" t="n">
        <v>1126</v>
      </c>
      <c r="B1127" s="15" t="n">
        <v>46004</v>
      </c>
      <c r="C1127" s="11" t="n">
        <v>3</v>
      </c>
      <c r="D1127" s="11" t="n">
        <v>7</v>
      </c>
      <c r="E1127" s="11" t="n">
        <v>17</v>
      </c>
      <c r="F1127" s="11" t="n">
        <v>6</v>
      </c>
      <c r="G1127" s="11" t="n">
        <v>1</v>
      </c>
      <c r="H1127" s="13" t="n">
        <v>62</v>
      </c>
      <c r="I1127" s="16" t="n">
        <v>0</v>
      </c>
      <c r="J1127" s="13" t="n">
        <f aca="false">G1127*H1127</f>
        <v>62</v>
      </c>
      <c r="K1127" s="13" t="n">
        <f aca="false">J1127*(1-I1127)</f>
        <v>62</v>
      </c>
    </row>
    <row r="1128" customFormat="false" ht="15" hidden="false" customHeight="false" outlineLevel="0" collapsed="false">
      <c r="A1128" s="11" t="n">
        <v>1127</v>
      </c>
      <c r="B1128" s="15" t="n">
        <v>46004</v>
      </c>
      <c r="C1128" s="11" t="n">
        <v>1</v>
      </c>
      <c r="D1128" s="11" t="n">
        <v>1</v>
      </c>
      <c r="E1128" s="11" t="n">
        <v>46</v>
      </c>
      <c r="F1128" s="11" t="n">
        <v>11</v>
      </c>
      <c r="G1128" s="11" t="n">
        <v>1</v>
      </c>
      <c r="H1128" s="13" t="n">
        <v>72</v>
      </c>
      <c r="I1128" s="16" t="n">
        <v>0</v>
      </c>
      <c r="J1128" s="13" t="n">
        <f aca="false">G1128*H1128</f>
        <v>72</v>
      </c>
      <c r="K1128" s="13" t="n">
        <f aca="false">J1128*(1-I1128)</f>
        <v>72</v>
      </c>
    </row>
    <row r="1129" customFormat="false" ht="15" hidden="false" customHeight="false" outlineLevel="0" collapsed="false">
      <c r="A1129" s="11" t="n">
        <v>1128</v>
      </c>
      <c r="B1129" s="15" t="n">
        <v>46004</v>
      </c>
      <c r="C1129" s="11" t="n">
        <v>1</v>
      </c>
      <c r="D1129" s="11" t="n">
        <v>2</v>
      </c>
      <c r="E1129" s="11" t="n">
        <v>39</v>
      </c>
      <c r="F1129" s="11" t="n">
        <v>20</v>
      </c>
      <c r="G1129" s="11" t="n">
        <v>1</v>
      </c>
      <c r="H1129" s="13" t="n">
        <v>88</v>
      </c>
      <c r="I1129" s="16" t="n">
        <v>0</v>
      </c>
      <c r="J1129" s="13" t="n">
        <f aca="false">G1129*H1129</f>
        <v>88</v>
      </c>
      <c r="K1129" s="13" t="n">
        <f aca="false">J1129*(1-I1129)</f>
        <v>88</v>
      </c>
    </row>
    <row r="1130" customFormat="false" ht="15" hidden="false" customHeight="false" outlineLevel="0" collapsed="false">
      <c r="A1130" s="11" t="n">
        <v>1129</v>
      </c>
      <c r="B1130" s="15" t="n">
        <v>46004</v>
      </c>
      <c r="C1130" s="11" t="n">
        <v>3</v>
      </c>
      <c r="D1130" s="11" t="n">
        <v>7</v>
      </c>
      <c r="E1130" s="11" t="n">
        <v>37</v>
      </c>
      <c r="F1130" s="11" t="n">
        <v>4</v>
      </c>
      <c r="G1130" s="11" t="n">
        <v>3</v>
      </c>
      <c r="H1130" s="13" t="n">
        <v>55</v>
      </c>
      <c r="I1130" s="16" t="n">
        <v>0</v>
      </c>
      <c r="J1130" s="13" t="n">
        <f aca="false">G1130*H1130</f>
        <v>165</v>
      </c>
      <c r="K1130" s="13" t="n">
        <f aca="false">J1130*(1-I1130)</f>
        <v>165</v>
      </c>
    </row>
    <row r="1131" customFormat="false" ht="15" hidden="false" customHeight="false" outlineLevel="0" collapsed="false">
      <c r="A1131" s="11" t="n">
        <v>1130</v>
      </c>
      <c r="B1131" s="15" t="n">
        <v>46005</v>
      </c>
      <c r="C1131" s="11" t="n">
        <v>3</v>
      </c>
      <c r="D1131" s="11" t="n">
        <v>6</v>
      </c>
      <c r="E1131" s="11" t="n">
        <v>32</v>
      </c>
      <c r="F1131" s="11" t="n">
        <v>8</v>
      </c>
      <c r="G1131" s="11" t="n">
        <v>1</v>
      </c>
      <c r="H1131" s="13" t="n">
        <v>52</v>
      </c>
      <c r="I1131" s="16" t="n">
        <v>0</v>
      </c>
      <c r="J1131" s="13" t="n">
        <f aca="false">G1131*H1131</f>
        <v>52</v>
      </c>
      <c r="K1131" s="13" t="n">
        <f aca="false">J1131*(1-I1131)</f>
        <v>52</v>
      </c>
    </row>
    <row r="1132" customFormat="false" ht="15" hidden="false" customHeight="false" outlineLevel="0" collapsed="false">
      <c r="A1132" s="11" t="n">
        <v>1131</v>
      </c>
      <c r="B1132" s="15" t="n">
        <v>46005</v>
      </c>
      <c r="C1132" s="11" t="n">
        <v>4</v>
      </c>
      <c r="D1132" s="11" t="n">
        <v>9</v>
      </c>
      <c r="E1132" s="11" t="n">
        <v>5</v>
      </c>
      <c r="F1132" s="11" t="n">
        <v>8</v>
      </c>
      <c r="G1132" s="11" t="n">
        <v>1</v>
      </c>
      <c r="H1132" s="13" t="n">
        <v>52</v>
      </c>
      <c r="I1132" s="16" t="n">
        <v>0</v>
      </c>
      <c r="J1132" s="13" t="n">
        <f aca="false">G1132*H1132</f>
        <v>52</v>
      </c>
      <c r="K1132" s="13" t="n">
        <f aca="false">J1132*(1-I1132)</f>
        <v>52</v>
      </c>
    </row>
    <row r="1133" customFormat="false" ht="15" hidden="false" customHeight="false" outlineLevel="0" collapsed="false">
      <c r="A1133" s="11" t="n">
        <v>1132</v>
      </c>
      <c r="B1133" s="15" t="n">
        <v>46005</v>
      </c>
      <c r="C1133" s="11" t="n">
        <v>2</v>
      </c>
      <c r="D1133" s="11" t="n">
        <v>4</v>
      </c>
      <c r="E1133" s="11" t="n">
        <v>16</v>
      </c>
      <c r="F1133" s="11" t="n">
        <v>8</v>
      </c>
      <c r="G1133" s="11" t="n">
        <v>2</v>
      </c>
      <c r="H1133" s="13" t="n">
        <v>52</v>
      </c>
      <c r="I1133" s="16" t="n">
        <v>0</v>
      </c>
      <c r="J1133" s="13" t="n">
        <f aca="false">G1133*H1133</f>
        <v>104</v>
      </c>
      <c r="K1133" s="13" t="n">
        <f aca="false">J1133*(1-I1133)</f>
        <v>104</v>
      </c>
    </row>
    <row r="1134" customFormat="false" ht="15" hidden="false" customHeight="false" outlineLevel="0" collapsed="false">
      <c r="A1134" s="11" t="n">
        <v>1133</v>
      </c>
      <c r="B1134" s="15" t="n">
        <v>46006</v>
      </c>
      <c r="C1134" s="11" t="n">
        <v>4</v>
      </c>
      <c r="D1134" s="11" t="n">
        <v>9</v>
      </c>
      <c r="E1134" s="11" t="n">
        <v>9</v>
      </c>
      <c r="F1134" s="11" t="n">
        <v>17</v>
      </c>
      <c r="G1134" s="11" t="n">
        <v>1</v>
      </c>
      <c r="H1134" s="13" t="n">
        <v>28</v>
      </c>
      <c r="I1134" s="16" t="n">
        <v>0</v>
      </c>
      <c r="J1134" s="13" t="n">
        <f aca="false">G1134*H1134</f>
        <v>28</v>
      </c>
      <c r="K1134" s="13" t="n">
        <f aca="false">J1134*(1-I1134)</f>
        <v>28</v>
      </c>
    </row>
    <row r="1135" customFormat="false" ht="15" hidden="false" customHeight="false" outlineLevel="0" collapsed="false">
      <c r="A1135" s="11" t="n">
        <v>1134</v>
      </c>
      <c r="B1135" s="15" t="n">
        <v>46006</v>
      </c>
      <c r="C1135" s="11" t="n">
        <v>4</v>
      </c>
      <c r="D1135" s="11" t="n">
        <v>8</v>
      </c>
      <c r="E1135" s="11" t="n">
        <v>58</v>
      </c>
      <c r="F1135" s="11" t="n">
        <v>11</v>
      </c>
      <c r="G1135" s="11" t="n">
        <v>1</v>
      </c>
      <c r="H1135" s="13" t="n">
        <v>72</v>
      </c>
      <c r="I1135" s="16" t="n">
        <v>0.1</v>
      </c>
      <c r="J1135" s="13" t="n">
        <f aca="false">G1135*H1135</f>
        <v>72</v>
      </c>
      <c r="K1135" s="13" t="n">
        <f aca="false">J1135*(1-I1135)</f>
        <v>64.8</v>
      </c>
    </row>
    <row r="1136" customFormat="false" ht="15" hidden="false" customHeight="false" outlineLevel="0" collapsed="false">
      <c r="A1136" s="11" t="n">
        <v>1135</v>
      </c>
      <c r="B1136" s="15" t="n">
        <v>46006</v>
      </c>
      <c r="C1136" s="11" t="n">
        <v>1</v>
      </c>
      <c r="D1136" s="11" t="n">
        <v>3</v>
      </c>
      <c r="E1136" s="11" t="n">
        <v>55</v>
      </c>
      <c r="F1136" s="11" t="n">
        <v>6</v>
      </c>
      <c r="G1136" s="11" t="n">
        <v>1</v>
      </c>
      <c r="H1136" s="13" t="n">
        <v>62</v>
      </c>
      <c r="I1136" s="16" t="n">
        <v>0</v>
      </c>
      <c r="J1136" s="13" t="n">
        <f aca="false">G1136*H1136</f>
        <v>62</v>
      </c>
      <c r="K1136" s="13" t="n">
        <f aca="false">J1136*(1-I1136)</f>
        <v>62</v>
      </c>
    </row>
    <row r="1137" customFormat="false" ht="15" hidden="false" customHeight="false" outlineLevel="0" collapsed="false">
      <c r="A1137" s="11" t="n">
        <v>1136</v>
      </c>
      <c r="B1137" s="15" t="n">
        <v>46006</v>
      </c>
      <c r="C1137" s="11" t="n">
        <v>2</v>
      </c>
      <c r="D1137" s="11" t="n">
        <v>4</v>
      </c>
      <c r="E1137" s="11" t="n">
        <v>33</v>
      </c>
      <c r="F1137" s="11" t="n">
        <v>19</v>
      </c>
      <c r="G1137" s="11" t="n">
        <v>2</v>
      </c>
      <c r="H1137" s="13" t="n">
        <v>125</v>
      </c>
      <c r="I1137" s="16" t="n">
        <v>0</v>
      </c>
      <c r="J1137" s="13" t="n">
        <f aca="false">G1137*H1137</f>
        <v>250</v>
      </c>
      <c r="K1137" s="13" t="n">
        <f aca="false">J1137*(1-I1137)</f>
        <v>250</v>
      </c>
    </row>
    <row r="1138" customFormat="false" ht="15" hidden="false" customHeight="false" outlineLevel="0" collapsed="false">
      <c r="A1138" s="11" t="n">
        <v>1137</v>
      </c>
      <c r="B1138" s="15" t="n">
        <v>46007</v>
      </c>
      <c r="C1138" s="11" t="n">
        <v>3</v>
      </c>
      <c r="D1138" s="11" t="n">
        <v>7</v>
      </c>
      <c r="E1138" s="11" t="n">
        <v>12</v>
      </c>
      <c r="F1138" s="11" t="n">
        <v>15</v>
      </c>
      <c r="G1138" s="11" t="n">
        <v>3</v>
      </c>
      <c r="H1138" s="13" t="n">
        <v>65</v>
      </c>
      <c r="I1138" s="16" t="n">
        <v>0</v>
      </c>
      <c r="J1138" s="13" t="n">
        <f aca="false">G1138*H1138</f>
        <v>195</v>
      </c>
      <c r="K1138" s="13" t="n">
        <f aca="false">J1138*(1-I1138)</f>
        <v>195</v>
      </c>
    </row>
    <row r="1139" customFormat="false" ht="15" hidden="false" customHeight="false" outlineLevel="0" collapsed="false">
      <c r="A1139" s="11" t="n">
        <v>1138</v>
      </c>
      <c r="B1139" s="15" t="n">
        <v>46007</v>
      </c>
      <c r="C1139" s="11" t="n">
        <v>1</v>
      </c>
      <c r="D1139" s="11" t="n">
        <v>3</v>
      </c>
      <c r="E1139" s="11" t="n">
        <v>25</v>
      </c>
      <c r="F1139" s="11" t="n">
        <v>14</v>
      </c>
      <c r="G1139" s="11" t="n">
        <v>1</v>
      </c>
      <c r="H1139" s="13" t="n">
        <v>38</v>
      </c>
      <c r="I1139" s="16" t="n">
        <v>0</v>
      </c>
      <c r="J1139" s="13" t="n">
        <f aca="false">G1139*H1139</f>
        <v>38</v>
      </c>
      <c r="K1139" s="13" t="n">
        <f aca="false">J1139*(1-I1139)</f>
        <v>38</v>
      </c>
    </row>
    <row r="1140" customFormat="false" ht="15" hidden="false" customHeight="false" outlineLevel="0" collapsed="false">
      <c r="A1140" s="11" t="n">
        <v>1139</v>
      </c>
      <c r="B1140" s="15" t="n">
        <v>46007</v>
      </c>
      <c r="C1140" s="11" t="n">
        <v>4</v>
      </c>
      <c r="D1140" s="11" t="n">
        <v>9</v>
      </c>
      <c r="E1140" s="11" t="n">
        <v>51</v>
      </c>
      <c r="F1140" s="11" t="n">
        <v>13</v>
      </c>
      <c r="G1140" s="11" t="n">
        <v>1</v>
      </c>
      <c r="H1140" s="13" t="n">
        <v>32</v>
      </c>
      <c r="I1140" s="16" t="n">
        <v>0.05</v>
      </c>
      <c r="J1140" s="13" t="n">
        <f aca="false">G1140*H1140</f>
        <v>32</v>
      </c>
      <c r="K1140" s="13" t="n">
        <f aca="false">J1140*(1-I1140)</f>
        <v>30.4</v>
      </c>
    </row>
    <row r="1141" customFormat="false" ht="15" hidden="false" customHeight="false" outlineLevel="0" collapsed="false">
      <c r="A1141" s="11" t="n">
        <v>1140</v>
      </c>
      <c r="B1141" s="15" t="n">
        <v>46007</v>
      </c>
      <c r="C1141" s="11" t="n">
        <v>3</v>
      </c>
      <c r="D1141" s="11" t="n">
        <v>7</v>
      </c>
      <c r="E1141" s="11" t="n">
        <v>23</v>
      </c>
      <c r="F1141" s="11" t="n">
        <v>6</v>
      </c>
      <c r="G1141" s="11" t="n">
        <v>3</v>
      </c>
      <c r="H1141" s="13" t="n">
        <v>62</v>
      </c>
      <c r="I1141" s="16" t="n">
        <v>0</v>
      </c>
      <c r="J1141" s="13" t="n">
        <f aca="false">G1141*H1141</f>
        <v>186</v>
      </c>
      <c r="K1141" s="13" t="n">
        <f aca="false">J1141*(1-I1141)</f>
        <v>186</v>
      </c>
    </row>
    <row r="1142" customFormat="false" ht="15" hidden="false" customHeight="false" outlineLevel="0" collapsed="false">
      <c r="A1142" s="11" t="n">
        <v>1141</v>
      </c>
      <c r="B1142" s="15" t="n">
        <v>46007</v>
      </c>
      <c r="C1142" s="11" t="n">
        <v>4</v>
      </c>
      <c r="D1142" s="11" t="n">
        <v>8</v>
      </c>
      <c r="E1142" s="11" t="n">
        <v>24</v>
      </c>
      <c r="F1142" s="11" t="n">
        <v>13</v>
      </c>
      <c r="G1142" s="11" t="n">
        <v>1</v>
      </c>
      <c r="H1142" s="13" t="n">
        <v>32</v>
      </c>
      <c r="I1142" s="16" t="n">
        <v>0</v>
      </c>
      <c r="J1142" s="13" t="n">
        <f aca="false">G1142*H1142</f>
        <v>32</v>
      </c>
      <c r="K1142" s="13" t="n">
        <f aca="false">J1142*(1-I1142)</f>
        <v>32</v>
      </c>
    </row>
    <row r="1143" customFormat="false" ht="15" hidden="false" customHeight="false" outlineLevel="0" collapsed="false">
      <c r="A1143" s="11" t="n">
        <v>1142</v>
      </c>
      <c r="B1143" s="15" t="n">
        <v>46007</v>
      </c>
      <c r="C1143" s="11" t="n">
        <v>5</v>
      </c>
      <c r="D1143" s="11" t="n">
        <v>10</v>
      </c>
      <c r="E1143" s="11" t="n">
        <v>42</v>
      </c>
      <c r="F1143" s="11" t="n">
        <v>5</v>
      </c>
      <c r="G1143" s="11" t="n">
        <v>1</v>
      </c>
      <c r="H1143" s="13" t="n">
        <v>58</v>
      </c>
      <c r="I1143" s="16" t="n">
        <v>0</v>
      </c>
      <c r="J1143" s="13" t="n">
        <f aca="false">G1143*H1143</f>
        <v>58</v>
      </c>
      <c r="K1143" s="13" t="n">
        <f aca="false">J1143*(1-I1143)</f>
        <v>58</v>
      </c>
    </row>
    <row r="1144" customFormat="false" ht="15" hidden="false" customHeight="false" outlineLevel="0" collapsed="false">
      <c r="A1144" s="11" t="n">
        <v>1143</v>
      </c>
      <c r="B1144" s="15" t="n">
        <v>46008</v>
      </c>
      <c r="C1144" s="11" t="n">
        <v>2</v>
      </c>
      <c r="D1144" s="11" t="n">
        <v>5</v>
      </c>
      <c r="E1144" s="11" t="n">
        <v>7</v>
      </c>
      <c r="F1144" s="11" t="n">
        <v>4</v>
      </c>
      <c r="G1144" s="11" t="n">
        <v>3</v>
      </c>
      <c r="H1144" s="13" t="n">
        <v>55</v>
      </c>
      <c r="I1144" s="16" t="n">
        <v>0</v>
      </c>
      <c r="J1144" s="13" t="n">
        <f aca="false">G1144*H1144</f>
        <v>165</v>
      </c>
      <c r="K1144" s="13" t="n">
        <f aca="false">J1144*(1-I1144)</f>
        <v>165</v>
      </c>
    </row>
    <row r="1145" customFormat="false" ht="15" hidden="false" customHeight="false" outlineLevel="0" collapsed="false">
      <c r="A1145" s="11" t="n">
        <v>1144</v>
      </c>
      <c r="B1145" s="15" t="n">
        <v>46008</v>
      </c>
      <c r="C1145" s="11" t="n">
        <v>1</v>
      </c>
      <c r="D1145" s="11" t="n">
        <v>1</v>
      </c>
      <c r="E1145" s="11" t="n">
        <v>47</v>
      </c>
      <c r="F1145" s="11" t="n">
        <v>14</v>
      </c>
      <c r="G1145" s="11" t="n">
        <v>1</v>
      </c>
      <c r="H1145" s="13" t="n">
        <v>38</v>
      </c>
      <c r="I1145" s="16" t="n">
        <v>0</v>
      </c>
      <c r="J1145" s="13" t="n">
        <f aca="false">G1145*H1145</f>
        <v>38</v>
      </c>
      <c r="K1145" s="13" t="n">
        <f aca="false">J1145*(1-I1145)</f>
        <v>38</v>
      </c>
    </row>
    <row r="1146" customFormat="false" ht="15" hidden="false" customHeight="false" outlineLevel="0" collapsed="false">
      <c r="A1146" s="11" t="n">
        <v>1145</v>
      </c>
      <c r="B1146" s="15" t="n">
        <v>46008</v>
      </c>
      <c r="C1146" s="11" t="n">
        <v>3</v>
      </c>
      <c r="D1146" s="11" t="n">
        <v>7</v>
      </c>
      <c r="E1146" s="11" t="n">
        <v>11</v>
      </c>
      <c r="F1146" s="11" t="n">
        <v>12</v>
      </c>
      <c r="G1146" s="11" t="n">
        <v>1</v>
      </c>
      <c r="H1146" s="13" t="n">
        <v>45</v>
      </c>
      <c r="I1146" s="16" t="n">
        <v>0</v>
      </c>
      <c r="J1146" s="13" t="n">
        <f aca="false">G1146*H1146</f>
        <v>45</v>
      </c>
      <c r="K1146" s="13" t="n">
        <f aca="false">J1146*(1-I1146)</f>
        <v>45</v>
      </c>
    </row>
    <row r="1147" customFormat="false" ht="15" hidden="false" customHeight="false" outlineLevel="0" collapsed="false">
      <c r="A1147" s="11" t="n">
        <v>1146</v>
      </c>
      <c r="B1147" s="15" t="n">
        <v>46008</v>
      </c>
      <c r="C1147" s="11" t="n">
        <v>5</v>
      </c>
      <c r="D1147" s="11" t="n">
        <v>10</v>
      </c>
      <c r="E1147" s="11" t="n">
        <v>57</v>
      </c>
      <c r="F1147" s="11" t="n">
        <v>2</v>
      </c>
      <c r="G1147" s="11" t="n">
        <v>1</v>
      </c>
      <c r="H1147" s="13" t="n">
        <v>45</v>
      </c>
      <c r="I1147" s="16" t="n">
        <v>0</v>
      </c>
      <c r="J1147" s="13" t="n">
        <f aca="false">G1147*H1147</f>
        <v>45</v>
      </c>
      <c r="K1147" s="13" t="n">
        <f aca="false">J1147*(1-I1147)</f>
        <v>45</v>
      </c>
    </row>
    <row r="1148" customFormat="false" ht="15" hidden="false" customHeight="false" outlineLevel="0" collapsed="false">
      <c r="A1148" s="11" t="n">
        <v>1147</v>
      </c>
      <c r="B1148" s="15" t="n">
        <v>46008</v>
      </c>
      <c r="C1148" s="11" t="n">
        <v>4</v>
      </c>
      <c r="D1148" s="11" t="n">
        <v>9</v>
      </c>
      <c r="E1148" s="11" t="n">
        <v>12</v>
      </c>
      <c r="F1148" s="11" t="n">
        <v>10</v>
      </c>
      <c r="G1148" s="11" t="n">
        <v>1</v>
      </c>
      <c r="H1148" s="13" t="n">
        <v>70</v>
      </c>
      <c r="I1148" s="16" t="n">
        <v>0.05</v>
      </c>
      <c r="J1148" s="13" t="n">
        <f aca="false">G1148*H1148</f>
        <v>70</v>
      </c>
      <c r="K1148" s="13" t="n">
        <f aca="false">J1148*(1-I1148)</f>
        <v>66.5</v>
      </c>
    </row>
    <row r="1149" customFormat="false" ht="15" hidden="false" customHeight="false" outlineLevel="0" collapsed="false">
      <c r="A1149" s="11" t="n">
        <v>1148</v>
      </c>
      <c r="B1149" s="15" t="n">
        <v>46008</v>
      </c>
      <c r="C1149" s="11" t="n">
        <v>1</v>
      </c>
      <c r="D1149" s="11" t="n">
        <v>2</v>
      </c>
      <c r="E1149" s="11" t="n">
        <v>7</v>
      </c>
      <c r="F1149" s="11" t="n">
        <v>4</v>
      </c>
      <c r="G1149" s="11" t="n">
        <v>1</v>
      </c>
      <c r="H1149" s="13" t="n">
        <v>55</v>
      </c>
      <c r="I1149" s="16" t="n">
        <v>0</v>
      </c>
      <c r="J1149" s="13" t="n">
        <f aca="false">G1149*H1149</f>
        <v>55</v>
      </c>
      <c r="K1149" s="13" t="n">
        <f aca="false">J1149*(1-I1149)</f>
        <v>55</v>
      </c>
    </row>
    <row r="1150" customFormat="false" ht="15" hidden="false" customHeight="false" outlineLevel="0" collapsed="false">
      <c r="A1150" s="11" t="n">
        <v>1149</v>
      </c>
      <c r="B1150" s="15" t="n">
        <v>46009</v>
      </c>
      <c r="C1150" s="11" t="n">
        <v>1</v>
      </c>
      <c r="D1150" s="11" t="n">
        <v>2</v>
      </c>
      <c r="E1150" s="11" t="n">
        <v>38</v>
      </c>
      <c r="F1150" s="11" t="n">
        <v>19</v>
      </c>
      <c r="G1150" s="11" t="n">
        <v>2</v>
      </c>
      <c r="H1150" s="13" t="n">
        <v>125</v>
      </c>
      <c r="I1150" s="16" t="n">
        <v>0</v>
      </c>
      <c r="J1150" s="13" t="n">
        <f aca="false">G1150*H1150</f>
        <v>250</v>
      </c>
      <c r="K1150" s="13" t="n">
        <f aca="false">J1150*(1-I1150)</f>
        <v>250</v>
      </c>
    </row>
    <row r="1151" customFormat="false" ht="15" hidden="false" customHeight="false" outlineLevel="0" collapsed="false">
      <c r="A1151" s="11" t="n">
        <v>1150</v>
      </c>
      <c r="B1151" s="15" t="n">
        <v>46009</v>
      </c>
      <c r="C1151" s="11" t="n">
        <v>5</v>
      </c>
      <c r="D1151" s="11" t="n">
        <v>10</v>
      </c>
      <c r="E1151" s="11" t="n">
        <v>34</v>
      </c>
      <c r="F1151" s="11" t="n">
        <v>2</v>
      </c>
      <c r="G1151" s="11" t="n">
        <v>3</v>
      </c>
      <c r="H1151" s="13" t="n">
        <v>45</v>
      </c>
      <c r="I1151" s="16" t="n">
        <v>0</v>
      </c>
      <c r="J1151" s="13" t="n">
        <f aca="false">G1151*H1151</f>
        <v>135</v>
      </c>
      <c r="K1151" s="13" t="n">
        <f aca="false">J1151*(1-I1151)</f>
        <v>135</v>
      </c>
    </row>
    <row r="1152" customFormat="false" ht="15" hidden="false" customHeight="false" outlineLevel="0" collapsed="false">
      <c r="A1152" s="11" t="n">
        <v>1151</v>
      </c>
      <c r="B1152" s="15" t="n">
        <v>46009</v>
      </c>
      <c r="C1152" s="11" t="n">
        <v>3</v>
      </c>
      <c r="D1152" s="11" t="n">
        <v>6</v>
      </c>
      <c r="E1152" s="11" t="n">
        <v>7</v>
      </c>
      <c r="F1152" s="11" t="n">
        <v>8</v>
      </c>
      <c r="G1152" s="11" t="n">
        <v>2</v>
      </c>
      <c r="H1152" s="13" t="n">
        <v>52</v>
      </c>
      <c r="I1152" s="16" t="n">
        <v>0</v>
      </c>
      <c r="J1152" s="13" t="n">
        <f aca="false">G1152*H1152</f>
        <v>104</v>
      </c>
      <c r="K1152" s="13" t="n">
        <f aca="false">J1152*(1-I1152)</f>
        <v>104</v>
      </c>
    </row>
    <row r="1153" customFormat="false" ht="15" hidden="false" customHeight="false" outlineLevel="0" collapsed="false">
      <c r="A1153" s="11" t="n">
        <v>1152</v>
      </c>
      <c r="B1153" s="15" t="n">
        <v>46009</v>
      </c>
      <c r="C1153" s="11" t="n">
        <v>1</v>
      </c>
      <c r="D1153" s="11" t="n">
        <v>3</v>
      </c>
      <c r="E1153" s="11" t="n">
        <v>10</v>
      </c>
      <c r="F1153" s="11" t="n">
        <v>15</v>
      </c>
      <c r="G1153" s="11" t="n">
        <v>1</v>
      </c>
      <c r="H1153" s="13" t="n">
        <v>65</v>
      </c>
      <c r="I1153" s="16" t="n">
        <v>0</v>
      </c>
      <c r="J1153" s="13" t="n">
        <f aca="false">G1153*H1153</f>
        <v>65</v>
      </c>
      <c r="K1153" s="13" t="n">
        <f aca="false">J1153*(1-I1153)</f>
        <v>65</v>
      </c>
    </row>
    <row r="1154" customFormat="false" ht="15" hidden="false" customHeight="false" outlineLevel="0" collapsed="false">
      <c r="A1154" s="11" t="n">
        <v>1153</v>
      </c>
      <c r="B1154" s="15" t="n">
        <v>46009</v>
      </c>
      <c r="C1154" s="11" t="n">
        <v>3</v>
      </c>
      <c r="D1154" s="11" t="n">
        <v>6</v>
      </c>
      <c r="E1154" s="11" t="n">
        <v>37</v>
      </c>
      <c r="F1154" s="11" t="n">
        <v>17</v>
      </c>
      <c r="G1154" s="11" t="n">
        <v>1</v>
      </c>
      <c r="H1154" s="13" t="n">
        <v>28</v>
      </c>
      <c r="I1154" s="16" t="n">
        <v>0</v>
      </c>
      <c r="J1154" s="13" t="n">
        <f aca="false">G1154*H1154</f>
        <v>28</v>
      </c>
      <c r="K1154" s="13" t="n">
        <f aca="false">J1154*(1-I1154)</f>
        <v>28</v>
      </c>
    </row>
    <row r="1155" customFormat="false" ht="15" hidden="false" customHeight="false" outlineLevel="0" collapsed="false">
      <c r="A1155" s="11" t="n">
        <v>1154</v>
      </c>
      <c r="B1155" s="15" t="n">
        <v>46011</v>
      </c>
      <c r="C1155" s="11" t="n">
        <v>4</v>
      </c>
      <c r="D1155" s="11" t="n">
        <v>9</v>
      </c>
      <c r="E1155" s="11" t="n">
        <v>6</v>
      </c>
      <c r="F1155" s="11" t="n">
        <v>19</v>
      </c>
      <c r="G1155" s="11" t="n">
        <v>2</v>
      </c>
      <c r="H1155" s="13" t="n">
        <v>125</v>
      </c>
      <c r="I1155" s="16" t="n">
        <v>0.1</v>
      </c>
      <c r="J1155" s="13" t="n">
        <f aca="false">G1155*H1155</f>
        <v>250</v>
      </c>
      <c r="K1155" s="13" t="n">
        <f aca="false">J1155*(1-I1155)</f>
        <v>225</v>
      </c>
    </row>
    <row r="1156" customFormat="false" ht="15" hidden="false" customHeight="false" outlineLevel="0" collapsed="false">
      <c r="A1156" s="11" t="n">
        <v>1155</v>
      </c>
      <c r="B1156" s="15" t="n">
        <v>46011</v>
      </c>
      <c r="C1156" s="11" t="n">
        <v>5</v>
      </c>
      <c r="D1156" s="11" t="n">
        <v>10</v>
      </c>
      <c r="E1156" s="11" t="n">
        <v>57</v>
      </c>
      <c r="F1156" s="11" t="n">
        <v>10</v>
      </c>
      <c r="G1156" s="11" t="n">
        <v>4</v>
      </c>
      <c r="H1156" s="13" t="n">
        <v>70</v>
      </c>
      <c r="I1156" s="16" t="n">
        <v>0</v>
      </c>
      <c r="J1156" s="13" t="n">
        <f aca="false">G1156*H1156</f>
        <v>280</v>
      </c>
      <c r="K1156" s="13" t="n">
        <f aca="false">J1156*(1-I1156)</f>
        <v>280</v>
      </c>
    </row>
    <row r="1157" customFormat="false" ht="15" hidden="false" customHeight="false" outlineLevel="0" collapsed="false">
      <c r="A1157" s="11" t="n">
        <v>1156</v>
      </c>
      <c r="B1157" s="15" t="n">
        <v>46011</v>
      </c>
      <c r="C1157" s="11" t="n">
        <v>1</v>
      </c>
      <c r="D1157" s="11" t="n">
        <v>3</v>
      </c>
      <c r="E1157" s="11" t="n">
        <v>43</v>
      </c>
      <c r="F1157" s="11" t="n">
        <v>2</v>
      </c>
      <c r="G1157" s="11" t="n">
        <v>2</v>
      </c>
      <c r="H1157" s="13" t="n">
        <v>45</v>
      </c>
      <c r="I1157" s="16" t="n">
        <v>0</v>
      </c>
      <c r="J1157" s="13" t="n">
        <f aca="false">G1157*H1157</f>
        <v>90</v>
      </c>
      <c r="K1157" s="13" t="n">
        <f aca="false">J1157*(1-I1157)</f>
        <v>90</v>
      </c>
    </row>
    <row r="1158" customFormat="false" ht="15" hidden="false" customHeight="false" outlineLevel="0" collapsed="false">
      <c r="A1158" s="11" t="n">
        <v>1157</v>
      </c>
      <c r="B1158" s="15" t="n">
        <v>46011</v>
      </c>
      <c r="C1158" s="11" t="n">
        <v>4</v>
      </c>
      <c r="D1158" s="11" t="n">
        <v>8</v>
      </c>
      <c r="E1158" s="11" t="n">
        <v>8</v>
      </c>
      <c r="F1158" s="11" t="n">
        <v>5</v>
      </c>
      <c r="G1158" s="11" t="n">
        <v>3</v>
      </c>
      <c r="H1158" s="13" t="n">
        <v>58</v>
      </c>
      <c r="I1158" s="16" t="n">
        <v>0</v>
      </c>
      <c r="J1158" s="13" t="n">
        <f aca="false">G1158*H1158</f>
        <v>174</v>
      </c>
      <c r="K1158" s="13" t="n">
        <f aca="false">J1158*(1-I1158)</f>
        <v>174</v>
      </c>
    </row>
    <row r="1159" customFormat="false" ht="15" hidden="false" customHeight="false" outlineLevel="0" collapsed="false">
      <c r="A1159" s="11" t="n">
        <v>1158</v>
      </c>
      <c r="B1159" s="15" t="n">
        <v>46011</v>
      </c>
      <c r="C1159" s="11" t="n">
        <v>5</v>
      </c>
      <c r="D1159" s="11" t="n">
        <v>10</v>
      </c>
      <c r="E1159" s="11" t="n">
        <v>48</v>
      </c>
      <c r="F1159" s="11" t="n">
        <v>11</v>
      </c>
      <c r="G1159" s="11" t="n">
        <v>1</v>
      </c>
      <c r="H1159" s="13" t="n">
        <v>72</v>
      </c>
      <c r="I1159" s="16" t="n">
        <v>0</v>
      </c>
      <c r="J1159" s="13" t="n">
        <f aca="false">G1159*H1159</f>
        <v>72</v>
      </c>
      <c r="K1159" s="13" t="n">
        <f aca="false">J1159*(1-I1159)</f>
        <v>72</v>
      </c>
    </row>
    <row r="1160" customFormat="false" ht="15" hidden="false" customHeight="false" outlineLevel="0" collapsed="false">
      <c r="A1160" s="11" t="n">
        <v>1159</v>
      </c>
      <c r="B1160" s="15" t="n">
        <v>46012</v>
      </c>
      <c r="C1160" s="11" t="n">
        <v>4</v>
      </c>
      <c r="D1160" s="11" t="n">
        <v>9</v>
      </c>
      <c r="E1160" s="11" t="n">
        <v>4</v>
      </c>
      <c r="F1160" s="11" t="n">
        <v>10</v>
      </c>
      <c r="G1160" s="11" t="n">
        <v>1</v>
      </c>
      <c r="H1160" s="13" t="n">
        <v>70</v>
      </c>
      <c r="I1160" s="16" t="n">
        <v>0</v>
      </c>
      <c r="J1160" s="13" t="n">
        <f aca="false">G1160*H1160</f>
        <v>70</v>
      </c>
      <c r="K1160" s="13" t="n">
        <f aca="false">J1160*(1-I1160)</f>
        <v>70</v>
      </c>
    </row>
    <row r="1161" customFormat="false" ht="15" hidden="false" customHeight="false" outlineLevel="0" collapsed="false">
      <c r="A1161" s="11" t="n">
        <v>1160</v>
      </c>
      <c r="B1161" s="15" t="n">
        <v>46012</v>
      </c>
      <c r="C1161" s="11" t="n">
        <v>3</v>
      </c>
      <c r="D1161" s="11" t="n">
        <v>6</v>
      </c>
      <c r="E1161" s="11" t="n">
        <v>37</v>
      </c>
      <c r="F1161" s="11" t="n">
        <v>20</v>
      </c>
      <c r="G1161" s="11" t="n">
        <v>1</v>
      </c>
      <c r="H1161" s="13" t="n">
        <v>88</v>
      </c>
      <c r="I1161" s="16" t="n">
        <v>0</v>
      </c>
      <c r="J1161" s="13" t="n">
        <f aca="false">G1161*H1161</f>
        <v>88</v>
      </c>
      <c r="K1161" s="13" t="n">
        <f aca="false">J1161*(1-I1161)</f>
        <v>88</v>
      </c>
    </row>
    <row r="1162" customFormat="false" ht="15" hidden="false" customHeight="false" outlineLevel="0" collapsed="false">
      <c r="A1162" s="11" t="n">
        <v>1161</v>
      </c>
      <c r="B1162" s="15" t="n">
        <v>46013</v>
      </c>
      <c r="C1162" s="11" t="n">
        <v>3</v>
      </c>
      <c r="D1162" s="11" t="n">
        <v>6</v>
      </c>
      <c r="E1162" s="11" t="n">
        <v>7</v>
      </c>
      <c r="F1162" s="11" t="n">
        <v>13</v>
      </c>
      <c r="G1162" s="11" t="n">
        <v>1</v>
      </c>
      <c r="H1162" s="13" t="n">
        <v>32</v>
      </c>
      <c r="I1162" s="16" t="n">
        <v>0.15</v>
      </c>
      <c r="J1162" s="13" t="n">
        <f aca="false">G1162*H1162</f>
        <v>32</v>
      </c>
      <c r="K1162" s="13" t="n">
        <f aca="false">J1162*(1-I1162)</f>
        <v>27.2</v>
      </c>
    </row>
    <row r="1163" customFormat="false" ht="15" hidden="false" customHeight="false" outlineLevel="0" collapsed="false">
      <c r="A1163" s="11" t="n">
        <v>1162</v>
      </c>
      <c r="B1163" s="15" t="n">
        <v>46013</v>
      </c>
      <c r="C1163" s="11" t="n">
        <v>1</v>
      </c>
      <c r="D1163" s="11" t="n">
        <v>1</v>
      </c>
      <c r="E1163" s="11" t="n">
        <v>42</v>
      </c>
      <c r="F1163" s="11" t="n">
        <v>6</v>
      </c>
      <c r="G1163" s="11" t="n">
        <v>2</v>
      </c>
      <c r="H1163" s="13" t="n">
        <v>62</v>
      </c>
      <c r="I1163" s="16" t="n">
        <v>0</v>
      </c>
      <c r="J1163" s="13" t="n">
        <f aca="false">G1163*H1163</f>
        <v>124</v>
      </c>
      <c r="K1163" s="13" t="n">
        <f aca="false">J1163*(1-I1163)</f>
        <v>124</v>
      </c>
    </row>
    <row r="1164" customFormat="false" ht="15" hidden="false" customHeight="false" outlineLevel="0" collapsed="false">
      <c r="A1164" s="11" t="n">
        <v>1163</v>
      </c>
      <c r="B1164" s="15" t="n">
        <v>46013</v>
      </c>
      <c r="C1164" s="11" t="n">
        <v>2</v>
      </c>
      <c r="D1164" s="11" t="n">
        <v>4</v>
      </c>
      <c r="E1164" s="11" t="n">
        <v>1</v>
      </c>
      <c r="F1164" s="11" t="n">
        <v>9</v>
      </c>
      <c r="G1164" s="11" t="n">
        <v>1</v>
      </c>
      <c r="H1164" s="13" t="n">
        <v>40</v>
      </c>
      <c r="I1164" s="16" t="n">
        <v>0.05</v>
      </c>
      <c r="J1164" s="13" t="n">
        <f aca="false">G1164*H1164</f>
        <v>40</v>
      </c>
      <c r="K1164" s="13" t="n">
        <f aca="false">J1164*(1-I1164)</f>
        <v>38</v>
      </c>
    </row>
    <row r="1165" customFormat="false" ht="15" hidden="false" customHeight="false" outlineLevel="0" collapsed="false">
      <c r="A1165" s="11" t="n">
        <v>1164</v>
      </c>
      <c r="B1165" s="15" t="n">
        <v>46013</v>
      </c>
      <c r="C1165" s="11" t="n">
        <v>1</v>
      </c>
      <c r="D1165" s="11" t="n">
        <v>1</v>
      </c>
      <c r="E1165" s="11" t="n">
        <v>5</v>
      </c>
      <c r="F1165" s="11" t="n">
        <v>1</v>
      </c>
      <c r="G1165" s="11" t="n">
        <v>1</v>
      </c>
      <c r="H1165" s="13" t="n">
        <v>35</v>
      </c>
      <c r="I1165" s="16" t="n">
        <v>0.05</v>
      </c>
      <c r="J1165" s="13" t="n">
        <f aca="false">G1165*H1165</f>
        <v>35</v>
      </c>
      <c r="K1165" s="13" t="n">
        <f aca="false">J1165*(1-I1165)</f>
        <v>33.25</v>
      </c>
    </row>
    <row r="1166" customFormat="false" ht="15" hidden="false" customHeight="false" outlineLevel="0" collapsed="false">
      <c r="A1166" s="11" t="n">
        <v>1165</v>
      </c>
      <c r="B1166" s="15" t="n">
        <v>46013</v>
      </c>
      <c r="C1166" s="11" t="n">
        <v>4</v>
      </c>
      <c r="D1166" s="11" t="n">
        <v>8</v>
      </c>
      <c r="E1166" s="11" t="n">
        <v>39</v>
      </c>
      <c r="F1166" s="11" t="n">
        <v>4</v>
      </c>
      <c r="G1166" s="11" t="n">
        <v>2</v>
      </c>
      <c r="H1166" s="13" t="n">
        <v>55</v>
      </c>
      <c r="I1166" s="16" t="n">
        <v>0</v>
      </c>
      <c r="J1166" s="13" t="n">
        <f aca="false">G1166*H1166</f>
        <v>110</v>
      </c>
      <c r="K1166" s="13" t="n">
        <f aca="false">J1166*(1-I1166)</f>
        <v>110</v>
      </c>
    </row>
    <row r="1167" customFormat="false" ht="15" hidden="false" customHeight="false" outlineLevel="0" collapsed="false">
      <c r="A1167" s="11" t="n">
        <v>1166</v>
      </c>
      <c r="B1167" s="15" t="n">
        <v>46013</v>
      </c>
      <c r="C1167" s="11" t="n">
        <v>2</v>
      </c>
      <c r="D1167" s="11" t="n">
        <v>4</v>
      </c>
      <c r="E1167" s="11" t="n">
        <v>44</v>
      </c>
      <c r="F1167" s="11" t="n">
        <v>19</v>
      </c>
      <c r="G1167" s="11" t="n">
        <v>1</v>
      </c>
      <c r="H1167" s="13" t="n">
        <v>125</v>
      </c>
      <c r="I1167" s="16" t="n">
        <v>0</v>
      </c>
      <c r="J1167" s="13" t="n">
        <f aca="false">G1167*H1167</f>
        <v>125</v>
      </c>
      <c r="K1167" s="13" t="n">
        <f aca="false">J1167*(1-I1167)</f>
        <v>125</v>
      </c>
    </row>
    <row r="1168" customFormat="false" ht="15" hidden="false" customHeight="false" outlineLevel="0" collapsed="false">
      <c r="A1168" s="11" t="n">
        <v>1167</v>
      </c>
      <c r="B1168" s="15" t="n">
        <v>46013</v>
      </c>
      <c r="C1168" s="11" t="n">
        <v>1</v>
      </c>
      <c r="D1168" s="11" t="n">
        <v>3</v>
      </c>
      <c r="E1168" s="11" t="n">
        <v>47</v>
      </c>
      <c r="F1168" s="11" t="n">
        <v>15</v>
      </c>
      <c r="G1168" s="11" t="n">
        <v>1</v>
      </c>
      <c r="H1168" s="13" t="n">
        <v>65</v>
      </c>
      <c r="I1168" s="16" t="n">
        <v>0</v>
      </c>
      <c r="J1168" s="13" t="n">
        <f aca="false">G1168*H1168</f>
        <v>65</v>
      </c>
      <c r="K1168" s="13" t="n">
        <f aca="false">J1168*(1-I1168)</f>
        <v>65</v>
      </c>
    </row>
    <row r="1169" customFormat="false" ht="15" hidden="false" customHeight="false" outlineLevel="0" collapsed="false">
      <c r="A1169" s="11" t="n">
        <v>1168</v>
      </c>
      <c r="B1169" s="15" t="n">
        <v>46013</v>
      </c>
      <c r="C1169" s="11" t="n">
        <v>2</v>
      </c>
      <c r="D1169" s="11" t="n">
        <v>4</v>
      </c>
      <c r="E1169" s="11" t="n">
        <v>38</v>
      </c>
      <c r="F1169" s="11" t="n">
        <v>6</v>
      </c>
      <c r="G1169" s="11" t="n">
        <v>1</v>
      </c>
      <c r="H1169" s="13" t="n">
        <v>62</v>
      </c>
      <c r="I1169" s="16" t="n">
        <v>0</v>
      </c>
      <c r="J1169" s="13" t="n">
        <f aca="false">G1169*H1169</f>
        <v>62</v>
      </c>
      <c r="K1169" s="13" t="n">
        <f aca="false">J1169*(1-I1169)</f>
        <v>62</v>
      </c>
    </row>
    <row r="1170" customFormat="false" ht="15" hidden="false" customHeight="false" outlineLevel="0" collapsed="false">
      <c r="A1170" s="11" t="n">
        <v>1169</v>
      </c>
      <c r="B1170" s="15" t="n">
        <v>46014</v>
      </c>
      <c r="C1170" s="11" t="n">
        <v>5</v>
      </c>
      <c r="D1170" s="11" t="n">
        <v>10</v>
      </c>
      <c r="E1170" s="11" t="n">
        <v>54</v>
      </c>
      <c r="F1170" s="11" t="n">
        <v>12</v>
      </c>
      <c r="G1170" s="11" t="n">
        <v>2</v>
      </c>
      <c r="H1170" s="13" t="n">
        <v>45</v>
      </c>
      <c r="I1170" s="16" t="n">
        <v>0</v>
      </c>
      <c r="J1170" s="13" t="n">
        <f aca="false">G1170*H1170</f>
        <v>90</v>
      </c>
      <c r="K1170" s="13" t="n">
        <f aca="false">J1170*(1-I1170)</f>
        <v>90</v>
      </c>
    </row>
    <row r="1171" customFormat="false" ht="15" hidden="false" customHeight="false" outlineLevel="0" collapsed="false">
      <c r="A1171" s="11" t="n">
        <v>1170</v>
      </c>
      <c r="B1171" s="15" t="n">
        <v>46014</v>
      </c>
      <c r="C1171" s="11" t="n">
        <v>1</v>
      </c>
      <c r="D1171" s="11" t="n">
        <v>1</v>
      </c>
      <c r="E1171" s="11" t="n">
        <v>59</v>
      </c>
      <c r="F1171" s="11" t="n">
        <v>8</v>
      </c>
      <c r="G1171" s="11" t="n">
        <v>3</v>
      </c>
      <c r="H1171" s="13" t="n">
        <v>52</v>
      </c>
      <c r="I1171" s="16" t="n">
        <v>0</v>
      </c>
      <c r="J1171" s="13" t="n">
        <f aca="false">G1171*H1171</f>
        <v>156</v>
      </c>
      <c r="K1171" s="13" t="n">
        <f aca="false">J1171*(1-I1171)</f>
        <v>156</v>
      </c>
    </row>
    <row r="1172" customFormat="false" ht="15" hidden="false" customHeight="false" outlineLevel="0" collapsed="false">
      <c r="A1172" s="11" t="n">
        <v>1171</v>
      </c>
      <c r="B1172" s="15" t="n">
        <v>46014</v>
      </c>
      <c r="C1172" s="11" t="n">
        <v>1</v>
      </c>
      <c r="D1172" s="11" t="n">
        <v>3</v>
      </c>
      <c r="E1172" s="11" t="n">
        <v>58</v>
      </c>
      <c r="F1172" s="11" t="n">
        <v>17</v>
      </c>
      <c r="G1172" s="11" t="n">
        <v>3</v>
      </c>
      <c r="H1172" s="13" t="n">
        <v>28</v>
      </c>
      <c r="I1172" s="16" t="n">
        <v>0</v>
      </c>
      <c r="J1172" s="13" t="n">
        <f aca="false">G1172*H1172</f>
        <v>84</v>
      </c>
      <c r="K1172" s="13" t="n">
        <f aca="false">J1172*(1-I1172)</f>
        <v>84</v>
      </c>
    </row>
    <row r="1173" customFormat="false" ht="15" hidden="false" customHeight="false" outlineLevel="0" collapsed="false">
      <c r="A1173" s="11" t="n">
        <v>1172</v>
      </c>
      <c r="B1173" s="15" t="n">
        <v>46015</v>
      </c>
      <c r="C1173" s="11" t="n">
        <v>5</v>
      </c>
      <c r="D1173" s="11" t="n">
        <v>10</v>
      </c>
      <c r="E1173" s="11" t="n">
        <v>5</v>
      </c>
      <c r="F1173" s="11" t="n">
        <v>12</v>
      </c>
      <c r="G1173" s="11" t="n">
        <v>5</v>
      </c>
      <c r="H1173" s="13" t="n">
        <v>45</v>
      </c>
      <c r="I1173" s="16" t="n">
        <v>0</v>
      </c>
      <c r="J1173" s="13" t="n">
        <f aca="false">G1173*H1173</f>
        <v>225</v>
      </c>
      <c r="K1173" s="13" t="n">
        <f aca="false">J1173*(1-I1173)</f>
        <v>225</v>
      </c>
    </row>
    <row r="1174" customFormat="false" ht="15" hidden="false" customHeight="false" outlineLevel="0" collapsed="false">
      <c r="A1174" s="11" t="n">
        <v>1173</v>
      </c>
      <c r="B1174" s="15" t="n">
        <v>46016</v>
      </c>
      <c r="C1174" s="11" t="n">
        <v>3</v>
      </c>
      <c r="D1174" s="11" t="n">
        <v>6</v>
      </c>
      <c r="E1174" s="11" t="n">
        <v>15</v>
      </c>
      <c r="F1174" s="11" t="n">
        <v>14</v>
      </c>
      <c r="G1174" s="11" t="n">
        <v>1</v>
      </c>
      <c r="H1174" s="13" t="n">
        <v>38</v>
      </c>
      <c r="I1174" s="16" t="n">
        <v>0</v>
      </c>
      <c r="J1174" s="13" t="n">
        <f aca="false">G1174*H1174</f>
        <v>38</v>
      </c>
      <c r="K1174" s="13" t="n">
        <f aca="false">J1174*(1-I1174)</f>
        <v>38</v>
      </c>
    </row>
    <row r="1175" customFormat="false" ht="15" hidden="false" customHeight="false" outlineLevel="0" collapsed="false">
      <c r="A1175" s="11" t="n">
        <v>1174</v>
      </c>
      <c r="B1175" s="15" t="n">
        <v>46016</v>
      </c>
      <c r="C1175" s="11" t="n">
        <v>1</v>
      </c>
      <c r="D1175" s="11" t="n">
        <v>2</v>
      </c>
      <c r="E1175" s="11" t="n">
        <v>60</v>
      </c>
      <c r="F1175" s="11" t="n">
        <v>11</v>
      </c>
      <c r="G1175" s="11" t="n">
        <v>1</v>
      </c>
      <c r="H1175" s="13" t="n">
        <v>72</v>
      </c>
      <c r="I1175" s="16" t="n">
        <v>0.15</v>
      </c>
      <c r="J1175" s="13" t="n">
        <f aca="false">G1175*H1175</f>
        <v>72</v>
      </c>
      <c r="K1175" s="13" t="n">
        <f aca="false">J1175*(1-I1175)</f>
        <v>61.2</v>
      </c>
    </row>
    <row r="1176" customFormat="false" ht="15" hidden="false" customHeight="false" outlineLevel="0" collapsed="false">
      <c r="A1176" s="11" t="n">
        <v>1175</v>
      </c>
      <c r="B1176" s="15" t="n">
        <v>46016</v>
      </c>
      <c r="C1176" s="11" t="n">
        <v>3</v>
      </c>
      <c r="D1176" s="11" t="n">
        <v>6</v>
      </c>
      <c r="E1176" s="11" t="n">
        <v>55</v>
      </c>
      <c r="F1176" s="11" t="n">
        <v>18</v>
      </c>
      <c r="G1176" s="11" t="n">
        <v>1</v>
      </c>
      <c r="H1176" s="13" t="n">
        <v>95</v>
      </c>
      <c r="I1176" s="16" t="n">
        <v>0</v>
      </c>
      <c r="J1176" s="13" t="n">
        <f aca="false">G1176*H1176</f>
        <v>95</v>
      </c>
      <c r="K1176" s="13" t="n">
        <f aca="false">J1176*(1-I1176)</f>
        <v>95</v>
      </c>
    </row>
    <row r="1177" customFormat="false" ht="15" hidden="false" customHeight="false" outlineLevel="0" collapsed="false">
      <c r="A1177" s="11" t="n">
        <v>1176</v>
      </c>
      <c r="B1177" s="15" t="n">
        <v>46016</v>
      </c>
      <c r="C1177" s="11" t="n">
        <v>2</v>
      </c>
      <c r="D1177" s="11" t="n">
        <v>4</v>
      </c>
      <c r="E1177" s="11" t="n">
        <v>34</v>
      </c>
      <c r="F1177" s="11" t="n">
        <v>10</v>
      </c>
      <c r="G1177" s="11" t="n">
        <v>1</v>
      </c>
      <c r="H1177" s="13" t="n">
        <v>70</v>
      </c>
      <c r="I1177" s="16" t="n">
        <v>0.1</v>
      </c>
      <c r="J1177" s="13" t="n">
        <f aca="false">G1177*H1177</f>
        <v>70</v>
      </c>
      <c r="K1177" s="13" t="n">
        <f aca="false">J1177*(1-I1177)</f>
        <v>63</v>
      </c>
    </row>
    <row r="1178" customFormat="false" ht="15" hidden="false" customHeight="false" outlineLevel="0" collapsed="false">
      <c r="A1178" s="11" t="n">
        <v>1177</v>
      </c>
      <c r="B1178" s="15" t="n">
        <v>46017</v>
      </c>
      <c r="C1178" s="11" t="n">
        <v>4</v>
      </c>
      <c r="D1178" s="11" t="n">
        <v>8</v>
      </c>
      <c r="E1178" s="11" t="n">
        <v>18</v>
      </c>
      <c r="F1178" s="11" t="n">
        <v>6</v>
      </c>
      <c r="G1178" s="11" t="n">
        <v>2</v>
      </c>
      <c r="H1178" s="13" t="n">
        <v>62</v>
      </c>
      <c r="I1178" s="16" t="n">
        <v>0</v>
      </c>
      <c r="J1178" s="13" t="n">
        <f aca="false">G1178*H1178</f>
        <v>124</v>
      </c>
      <c r="K1178" s="13" t="n">
        <f aca="false">J1178*(1-I1178)</f>
        <v>124</v>
      </c>
    </row>
    <row r="1179" customFormat="false" ht="15" hidden="false" customHeight="false" outlineLevel="0" collapsed="false">
      <c r="A1179" s="11" t="n">
        <v>1178</v>
      </c>
      <c r="B1179" s="15" t="n">
        <v>46018</v>
      </c>
      <c r="C1179" s="11" t="n">
        <v>2</v>
      </c>
      <c r="D1179" s="11" t="n">
        <v>4</v>
      </c>
      <c r="E1179" s="11" t="n">
        <v>42</v>
      </c>
      <c r="F1179" s="11" t="n">
        <v>20</v>
      </c>
      <c r="G1179" s="11" t="n">
        <v>5</v>
      </c>
      <c r="H1179" s="13" t="n">
        <v>88</v>
      </c>
      <c r="I1179" s="16" t="n">
        <v>0</v>
      </c>
      <c r="J1179" s="13" t="n">
        <f aca="false">G1179*H1179</f>
        <v>440</v>
      </c>
      <c r="K1179" s="13" t="n">
        <f aca="false">J1179*(1-I1179)</f>
        <v>440</v>
      </c>
    </row>
    <row r="1180" customFormat="false" ht="15" hidden="false" customHeight="false" outlineLevel="0" collapsed="false">
      <c r="A1180" s="11" t="n">
        <v>1179</v>
      </c>
      <c r="B1180" s="15" t="n">
        <v>46018</v>
      </c>
      <c r="C1180" s="11" t="n">
        <v>1</v>
      </c>
      <c r="D1180" s="11" t="n">
        <v>2</v>
      </c>
      <c r="E1180" s="11" t="n">
        <v>21</v>
      </c>
      <c r="F1180" s="11" t="n">
        <v>10</v>
      </c>
      <c r="G1180" s="11" t="n">
        <v>1</v>
      </c>
      <c r="H1180" s="13" t="n">
        <v>70</v>
      </c>
      <c r="I1180" s="16" t="n">
        <v>0</v>
      </c>
      <c r="J1180" s="13" t="n">
        <f aca="false">G1180*H1180</f>
        <v>70</v>
      </c>
      <c r="K1180" s="13" t="n">
        <f aca="false">J1180*(1-I1180)</f>
        <v>70</v>
      </c>
    </row>
    <row r="1181" customFormat="false" ht="15" hidden="false" customHeight="false" outlineLevel="0" collapsed="false">
      <c r="A1181" s="11" t="n">
        <v>1180</v>
      </c>
      <c r="B1181" s="15" t="n">
        <v>46018</v>
      </c>
      <c r="C1181" s="11" t="n">
        <v>2</v>
      </c>
      <c r="D1181" s="11" t="n">
        <v>5</v>
      </c>
      <c r="E1181" s="11" t="n">
        <v>20</v>
      </c>
      <c r="F1181" s="11" t="n">
        <v>4</v>
      </c>
      <c r="G1181" s="11" t="n">
        <v>1</v>
      </c>
      <c r="H1181" s="13" t="n">
        <v>55</v>
      </c>
      <c r="I1181" s="16" t="n">
        <v>0</v>
      </c>
      <c r="J1181" s="13" t="n">
        <f aca="false">G1181*H1181</f>
        <v>55</v>
      </c>
      <c r="K1181" s="13" t="n">
        <f aca="false">J1181*(1-I1181)</f>
        <v>55</v>
      </c>
    </row>
    <row r="1182" customFormat="false" ht="15" hidden="false" customHeight="false" outlineLevel="0" collapsed="false">
      <c r="A1182" s="11" t="n">
        <v>1181</v>
      </c>
      <c r="B1182" s="15" t="n">
        <v>46018</v>
      </c>
      <c r="C1182" s="11" t="n">
        <v>1</v>
      </c>
      <c r="D1182" s="11" t="n">
        <v>3</v>
      </c>
      <c r="E1182" s="11" t="n">
        <v>46</v>
      </c>
      <c r="F1182" s="11" t="n">
        <v>8</v>
      </c>
      <c r="G1182" s="11" t="n">
        <v>2</v>
      </c>
      <c r="H1182" s="13" t="n">
        <v>52</v>
      </c>
      <c r="I1182" s="16" t="n">
        <v>0</v>
      </c>
      <c r="J1182" s="13" t="n">
        <f aca="false">G1182*H1182</f>
        <v>104</v>
      </c>
      <c r="K1182" s="13" t="n">
        <f aca="false">J1182*(1-I1182)</f>
        <v>104</v>
      </c>
    </row>
    <row r="1183" customFormat="false" ht="15" hidden="false" customHeight="false" outlineLevel="0" collapsed="false">
      <c r="A1183" s="11" t="n">
        <v>1182</v>
      </c>
      <c r="B1183" s="15" t="n">
        <v>46018</v>
      </c>
      <c r="C1183" s="11" t="n">
        <v>4</v>
      </c>
      <c r="D1183" s="11" t="n">
        <v>8</v>
      </c>
      <c r="E1183" s="11" t="n">
        <v>50</v>
      </c>
      <c r="F1183" s="11" t="n">
        <v>15</v>
      </c>
      <c r="G1183" s="11" t="n">
        <v>1</v>
      </c>
      <c r="H1183" s="13" t="n">
        <v>65</v>
      </c>
      <c r="I1183" s="16" t="n">
        <v>0</v>
      </c>
      <c r="J1183" s="13" t="n">
        <f aca="false">G1183*H1183</f>
        <v>65</v>
      </c>
      <c r="K1183" s="13" t="n">
        <f aca="false">J1183*(1-I1183)</f>
        <v>65</v>
      </c>
    </row>
    <row r="1184" customFormat="false" ht="15" hidden="false" customHeight="false" outlineLevel="0" collapsed="false">
      <c r="A1184" s="11" t="n">
        <v>1183</v>
      </c>
      <c r="B1184" s="15" t="n">
        <v>46018</v>
      </c>
      <c r="C1184" s="11" t="n">
        <v>4</v>
      </c>
      <c r="D1184" s="11" t="n">
        <v>8</v>
      </c>
      <c r="E1184" s="11" t="n">
        <v>28</v>
      </c>
      <c r="F1184" s="11" t="n">
        <v>5</v>
      </c>
      <c r="G1184" s="11" t="n">
        <v>1</v>
      </c>
      <c r="H1184" s="13" t="n">
        <v>58</v>
      </c>
      <c r="I1184" s="16" t="n">
        <v>0</v>
      </c>
      <c r="J1184" s="13" t="n">
        <f aca="false">G1184*H1184</f>
        <v>58</v>
      </c>
      <c r="K1184" s="13" t="n">
        <f aca="false">J1184*(1-I1184)</f>
        <v>58</v>
      </c>
    </row>
    <row r="1185" customFormat="false" ht="15" hidden="false" customHeight="false" outlineLevel="0" collapsed="false">
      <c r="A1185" s="11" t="n">
        <v>1184</v>
      </c>
      <c r="B1185" s="15" t="n">
        <v>46018</v>
      </c>
      <c r="C1185" s="11" t="n">
        <v>4</v>
      </c>
      <c r="D1185" s="11" t="n">
        <v>9</v>
      </c>
      <c r="E1185" s="11" t="n">
        <v>40</v>
      </c>
      <c r="F1185" s="11" t="n">
        <v>6</v>
      </c>
      <c r="G1185" s="11" t="n">
        <v>3</v>
      </c>
      <c r="H1185" s="13" t="n">
        <v>62</v>
      </c>
      <c r="I1185" s="16" t="n">
        <v>0</v>
      </c>
      <c r="J1185" s="13" t="n">
        <f aca="false">G1185*H1185</f>
        <v>186</v>
      </c>
      <c r="K1185" s="13" t="n">
        <f aca="false">J1185*(1-I1185)</f>
        <v>186</v>
      </c>
    </row>
    <row r="1186" customFormat="false" ht="15" hidden="false" customHeight="false" outlineLevel="0" collapsed="false">
      <c r="A1186" s="11" t="n">
        <v>1185</v>
      </c>
      <c r="B1186" s="15" t="n">
        <v>46019</v>
      </c>
      <c r="C1186" s="11" t="n">
        <v>1</v>
      </c>
      <c r="D1186" s="11" t="n">
        <v>2</v>
      </c>
      <c r="E1186" s="11" t="n">
        <v>32</v>
      </c>
      <c r="F1186" s="11" t="n">
        <v>16</v>
      </c>
      <c r="G1186" s="11" t="n">
        <v>1</v>
      </c>
      <c r="H1186" s="13" t="n">
        <v>45</v>
      </c>
      <c r="I1186" s="16" t="n">
        <v>0</v>
      </c>
      <c r="J1186" s="13" t="n">
        <f aca="false">G1186*H1186</f>
        <v>45</v>
      </c>
      <c r="K1186" s="13" t="n">
        <f aca="false">J1186*(1-I1186)</f>
        <v>45</v>
      </c>
    </row>
    <row r="1187" customFormat="false" ht="15" hidden="false" customHeight="false" outlineLevel="0" collapsed="false">
      <c r="A1187" s="11" t="n">
        <v>1186</v>
      </c>
      <c r="B1187" s="15" t="n">
        <v>46019</v>
      </c>
      <c r="C1187" s="11" t="n">
        <v>3</v>
      </c>
      <c r="D1187" s="11" t="n">
        <v>6</v>
      </c>
      <c r="E1187" s="11" t="n">
        <v>25</v>
      </c>
      <c r="F1187" s="11" t="n">
        <v>19</v>
      </c>
      <c r="G1187" s="11" t="n">
        <v>1</v>
      </c>
      <c r="H1187" s="13" t="n">
        <v>125</v>
      </c>
      <c r="I1187" s="16" t="n">
        <v>0</v>
      </c>
      <c r="J1187" s="13" t="n">
        <f aca="false">G1187*H1187</f>
        <v>125</v>
      </c>
      <c r="K1187" s="13" t="n">
        <f aca="false">J1187*(1-I1187)</f>
        <v>125</v>
      </c>
    </row>
    <row r="1188" customFormat="false" ht="15" hidden="false" customHeight="false" outlineLevel="0" collapsed="false">
      <c r="A1188" s="11" t="n">
        <v>1187</v>
      </c>
      <c r="B1188" s="15" t="n">
        <v>46019</v>
      </c>
      <c r="C1188" s="11" t="n">
        <v>4</v>
      </c>
      <c r="D1188" s="11" t="n">
        <v>9</v>
      </c>
      <c r="E1188" s="11" t="n">
        <v>1</v>
      </c>
      <c r="F1188" s="11" t="n">
        <v>18</v>
      </c>
      <c r="G1188" s="11" t="n">
        <v>3</v>
      </c>
      <c r="H1188" s="13" t="n">
        <v>95</v>
      </c>
      <c r="I1188" s="16" t="n">
        <v>0</v>
      </c>
      <c r="J1188" s="13" t="n">
        <f aca="false">G1188*H1188</f>
        <v>285</v>
      </c>
      <c r="K1188" s="13" t="n">
        <f aca="false">J1188*(1-I1188)</f>
        <v>285</v>
      </c>
    </row>
    <row r="1189" customFormat="false" ht="15" hidden="false" customHeight="false" outlineLevel="0" collapsed="false">
      <c r="A1189" s="11" t="n">
        <v>1188</v>
      </c>
      <c r="B1189" s="15" t="n">
        <v>46019</v>
      </c>
      <c r="C1189" s="11" t="n">
        <v>2</v>
      </c>
      <c r="D1189" s="11" t="n">
        <v>4</v>
      </c>
      <c r="E1189" s="11" t="n">
        <v>55</v>
      </c>
      <c r="F1189" s="11" t="n">
        <v>7</v>
      </c>
      <c r="G1189" s="11" t="n">
        <v>1</v>
      </c>
      <c r="H1189" s="13" t="n">
        <v>50</v>
      </c>
      <c r="I1189" s="16" t="n">
        <v>0</v>
      </c>
      <c r="J1189" s="13" t="n">
        <f aca="false">G1189*H1189</f>
        <v>50</v>
      </c>
      <c r="K1189" s="13" t="n">
        <f aca="false">J1189*(1-I1189)</f>
        <v>50</v>
      </c>
    </row>
    <row r="1190" customFormat="false" ht="15" hidden="false" customHeight="false" outlineLevel="0" collapsed="false">
      <c r="A1190" s="11" t="n">
        <v>1189</v>
      </c>
      <c r="B1190" s="15" t="n">
        <v>46019</v>
      </c>
      <c r="C1190" s="11" t="n">
        <v>1</v>
      </c>
      <c r="D1190" s="11" t="n">
        <v>3</v>
      </c>
      <c r="E1190" s="11" t="n">
        <v>37</v>
      </c>
      <c r="F1190" s="11" t="n">
        <v>12</v>
      </c>
      <c r="G1190" s="11" t="n">
        <v>3</v>
      </c>
      <c r="H1190" s="13" t="n">
        <v>45</v>
      </c>
      <c r="I1190" s="16" t="n">
        <v>0</v>
      </c>
      <c r="J1190" s="13" t="n">
        <f aca="false">G1190*H1190</f>
        <v>135</v>
      </c>
      <c r="K1190" s="13" t="n">
        <f aca="false">J1190*(1-I1190)</f>
        <v>135</v>
      </c>
    </row>
    <row r="1191" customFormat="false" ht="15" hidden="false" customHeight="false" outlineLevel="0" collapsed="false">
      <c r="A1191" s="11" t="n">
        <v>1190</v>
      </c>
      <c r="B1191" s="15" t="n">
        <v>46020</v>
      </c>
      <c r="C1191" s="11" t="n">
        <v>1</v>
      </c>
      <c r="D1191" s="11" t="n">
        <v>1</v>
      </c>
      <c r="E1191" s="11" t="n">
        <v>24</v>
      </c>
      <c r="F1191" s="11" t="n">
        <v>10</v>
      </c>
      <c r="G1191" s="11" t="n">
        <v>1</v>
      </c>
      <c r="H1191" s="13" t="n">
        <v>70</v>
      </c>
      <c r="I1191" s="16" t="n">
        <v>0.05</v>
      </c>
      <c r="J1191" s="13" t="n">
        <f aca="false">G1191*H1191</f>
        <v>70</v>
      </c>
      <c r="K1191" s="13" t="n">
        <f aca="false">J1191*(1-I1191)</f>
        <v>66.5</v>
      </c>
    </row>
    <row r="1192" customFormat="false" ht="15" hidden="false" customHeight="false" outlineLevel="0" collapsed="false">
      <c r="A1192" s="11" t="n">
        <v>1191</v>
      </c>
      <c r="B1192" s="15" t="n">
        <v>46020</v>
      </c>
      <c r="C1192" s="11" t="n">
        <v>2</v>
      </c>
      <c r="D1192" s="11" t="n">
        <v>5</v>
      </c>
      <c r="E1192" s="11" t="n">
        <v>54</v>
      </c>
      <c r="F1192" s="11" t="n">
        <v>18</v>
      </c>
      <c r="G1192" s="11" t="n">
        <v>1</v>
      </c>
      <c r="H1192" s="13" t="n">
        <v>95</v>
      </c>
      <c r="I1192" s="16" t="n">
        <v>0</v>
      </c>
      <c r="J1192" s="13" t="n">
        <f aca="false">G1192*H1192</f>
        <v>95</v>
      </c>
      <c r="K1192" s="13" t="n">
        <f aca="false">J1192*(1-I1192)</f>
        <v>95</v>
      </c>
    </row>
    <row r="1193" customFormat="false" ht="15" hidden="false" customHeight="false" outlineLevel="0" collapsed="false">
      <c r="A1193" s="11" t="n">
        <v>1192</v>
      </c>
      <c r="B1193" s="15" t="n">
        <v>46020</v>
      </c>
      <c r="C1193" s="11" t="n">
        <v>3</v>
      </c>
      <c r="D1193" s="11" t="n">
        <v>6</v>
      </c>
      <c r="E1193" s="11" t="n">
        <v>21</v>
      </c>
      <c r="F1193" s="11" t="n">
        <v>17</v>
      </c>
      <c r="G1193" s="11" t="n">
        <v>1</v>
      </c>
      <c r="H1193" s="13" t="n">
        <v>28</v>
      </c>
      <c r="I1193" s="16" t="n">
        <v>0</v>
      </c>
      <c r="J1193" s="13" t="n">
        <f aca="false">G1193*H1193</f>
        <v>28</v>
      </c>
      <c r="K1193" s="13" t="n">
        <f aca="false">J1193*(1-I1193)</f>
        <v>28</v>
      </c>
    </row>
    <row r="1194" customFormat="false" ht="15" hidden="false" customHeight="false" outlineLevel="0" collapsed="false">
      <c r="A1194" s="11" t="n">
        <v>1193</v>
      </c>
      <c r="B1194" s="15" t="n">
        <v>46020</v>
      </c>
      <c r="C1194" s="11" t="n">
        <v>2</v>
      </c>
      <c r="D1194" s="11" t="n">
        <v>5</v>
      </c>
      <c r="E1194" s="11" t="n">
        <v>57</v>
      </c>
      <c r="F1194" s="11" t="n">
        <v>11</v>
      </c>
      <c r="G1194" s="11" t="n">
        <v>2</v>
      </c>
      <c r="H1194" s="13" t="n">
        <v>72</v>
      </c>
      <c r="I1194" s="16" t="n">
        <v>0.15</v>
      </c>
      <c r="J1194" s="13" t="n">
        <f aca="false">G1194*H1194</f>
        <v>144</v>
      </c>
      <c r="K1194" s="13" t="n">
        <f aca="false">J1194*(1-I1194)</f>
        <v>122.4</v>
      </c>
    </row>
    <row r="1195" customFormat="false" ht="15" hidden="false" customHeight="false" outlineLevel="0" collapsed="false">
      <c r="A1195" s="11" t="n">
        <v>1194</v>
      </c>
      <c r="B1195" s="15" t="n">
        <v>46021</v>
      </c>
      <c r="C1195" s="11" t="n">
        <v>5</v>
      </c>
      <c r="D1195" s="11" t="n">
        <v>10</v>
      </c>
      <c r="E1195" s="11" t="n">
        <v>32</v>
      </c>
      <c r="F1195" s="11" t="n">
        <v>10</v>
      </c>
      <c r="G1195" s="11" t="n">
        <v>1</v>
      </c>
      <c r="H1195" s="13" t="n">
        <v>70</v>
      </c>
      <c r="I1195" s="16" t="n">
        <v>0</v>
      </c>
      <c r="J1195" s="13" t="n">
        <f aca="false">G1195*H1195</f>
        <v>70</v>
      </c>
      <c r="K1195" s="13" t="n">
        <f aca="false">J1195*(1-I1195)</f>
        <v>70</v>
      </c>
    </row>
    <row r="1196" customFormat="false" ht="15" hidden="false" customHeight="false" outlineLevel="0" collapsed="false">
      <c r="A1196" s="11" t="n">
        <v>1195</v>
      </c>
      <c r="B1196" s="15" t="n">
        <v>46021</v>
      </c>
      <c r="C1196" s="11" t="n">
        <v>1</v>
      </c>
      <c r="D1196" s="11" t="n">
        <v>3</v>
      </c>
      <c r="E1196" s="11" t="n">
        <v>20</v>
      </c>
      <c r="F1196" s="11" t="n">
        <v>6</v>
      </c>
      <c r="G1196" s="11" t="n">
        <v>3</v>
      </c>
      <c r="H1196" s="13" t="n">
        <v>62</v>
      </c>
      <c r="I1196" s="16" t="n">
        <v>0.05</v>
      </c>
      <c r="J1196" s="13" t="n">
        <f aca="false">G1196*H1196</f>
        <v>186</v>
      </c>
      <c r="K1196" s="13" t="n">
        <f aca="false">J1196*(1-I1196)</f>
        <v>176.7</v>
      </c>
    </row>
    <row r="1197" customFormat="false" ht="15" hidden="false" customHeight="false" outlineLevel="0" collapsed="false">
      <c r="A1197" s="11" t="n">
        <v>1196</v>
      </c>
      <c r="B1197" s="15" t="n">
        <v>46021</v>
      </c>
      <c r="C1197" s="11" t="n">
        <v>3</v>
      </c>
      <c r="D1197" s="11" t="n">
        <v>7</v>
      </c>
      <c r="E1197" s="11" t="n">
        <v>15</v>
      </c>
      <c r="F1197" s="11" t="n">
        <v>19</v>
      </c>
      <c r="G1197" s="11" t="n">
        <v>1</v>
      </c>
      <c r="H1197" s="13" t="n">
        <v>125</v>
      </c>
      <c r="I1197" s="16" t="n">
        <v>0</v>
      </c>
      <c r="J1197" s="13" t="n">
        <f aca="false">G1197*H1197</f>
        <v>125</v>
      </c>
      <c r="K1197" s="13" t="n">
        <f aca="false">J1197*(1-I1197)</f>
        <v>125</v>
      </c>
    </row>
    <row r="1198" customFormat="false" ht="15" hidden="false" customHeight="false" outlineLevel="0" collapsed="false">
      <c r="A1198" s="11" t="n">
        <v>1197</v>
      </c>
      <c r="B1198" s="15" t="n">
        <v>46021</v>
      </c>
      <c r="C1198" s="11" t="n">
        <v>4</v>
      </c>
      <c r="D1198" s="11" t="n">
        <v>8</v>
      </c>
      <c r="E1198" s="11" t="n">
        <v>50</v>
      </c>
      <c r="F1198" s="11" t="n">
        <v>7</v>
      </c>
      <c r="G1198" s="11" t="n">
        <v>1</v>
      </c>
      <c r="H1198" s="13" t="n">
        <v>50</v>
      </c>
      <c r="I1198" s="16" t="n">
        <v>0</v>
      </c>
      <c r="J1198" s="13" t="n">
        <f aca="false">G1198*H1198</f>
        <v>50</v>
      </c>
      <c r="K1198" s="13" t="n">
        <f aca="false">J1198*(1-I1198)</f>
        <v>50</v>
      </c>
    </row>
    <row r="1199" customFormat="false" ht="15" hidden="false" customHeight="false" outlineLevel="0" collapsed="false">
      <c r="A1199" s="11" t="n">
        <v>1198</v>
      </c>
      <c r="B1199" s="15" t="n">
        <v>46022</v>
      </c>
      <c r="C1199" s="11" t="n">
        <v>4</v>
      </c>
      <c r="D1199" s="11" t="n">
        <v>9</v>
      </c>
      <c r="E1199" s="11" t="n">
        <v>6</v>
      </c>
      <c r="F1199" s="11" t="n">
        <v>13</v>
      </c>
      <c r="G1199" s="11" t="n">
        <v>1</v>
      </c>
      <c r="H1199" s="13" t="n">
        <v>32</v>
      </c>
      <c r="I1199" s="16" t="n">
        <v>0</v>
      </c>
      <c r="J1199" s="13" t="n">
        <f aca="false">G1199*H1199</f>
        <v>32</v>
      </c>
      <c r="K1199" s="13" t="n">
        <f aca="false">J1199*(1-I1199)</f>
        <v>32</v>
      </c>
    </row>
    <row r="1200" customFormat="false" ht="15" hidden="false" customHeight="false" outlineLevel="0" collapsed="false">
      <c r="A1200" s="11" t="n">
        <v>1199</v>
      </c>
      <c r="B1200" s="15" t="n">
        <v>46022</v>
      </c>
      <c r="C1200" s="11" t="n">
        <v>4</v>
      </c>
      <c r="D1200" s="11" t="n">
        <v>9</v>
      </c>
      <c r="E1200" s="11" t="n">
        <v>1</v>
      </c>
      <c r="F1200" s="11" t="n">
        <v>14</v>
      </c>
      <c r="G1200" s="11" t="n">
        <v>2</v>
      </c>
      <c r="H1200" s="13" t="n">
        <v>38</v>
      </c>
      <c r="I1200" s="16" t="n">
        <v>0</v>
      </c>
      <c r="J1200" s="13" t="n">
        <f aca="false">G1200*H1200</f>
        <v>76</v>
      </c>
      <c r="K1200" s="13" t="n">
        <f aca="false">J1200*(1-I1200)</f>
        <v>76</v>
      </c>
    </row>
    <row r="1201" customFormat="false" ht="15" hidden="false" customHeight="false" outlineLevel="0" collapsed="false">
      <c r="A1201" s="11" t="n">
        <v>1200</v>
      </c>
      <c r="B1201" s="15" t="n">
        <v>46022</v>
      </c>
      <c r="C1201" s="11" t="n">
        <v>2</v>
      </c>
      <c r="D1201" s="11" t="n">
        <v>4</v>
      </c>
      <c r="E1201" s="11" t="n">
        <v>31</v>
      </c>
      <c r="F1201" s="11" t="n">
        <v>17</v>
      </c>
      <c r="G1201" s="11" t="n">
        <v>5</v>
      </c>
      <c r="H1201" s="13" t="n">
        <v>28</v>
      </c>
      <c r="I1201" s="16" t="n">
        <v>0.1</v>
      </c>
      <c r="J1201" s="13" t="n">
        <f aca="false">G1201*H1201</f>
        <v>140</v>
      </c>
      <c r="K1201" s="13" t="n">
        <f aca="false">J1201*(1-I1201)</f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6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30" hidden="false" customHeight="true" outlineLevel="0" collapsed="false">
      <c r="A1" s="5" t="s">
        <v>326</v>
      </c>
      <c r="B1" s="5" t="s">
        <v>52</v>
      </c>
      <c r="C1" s="5" t="s">
        <v>288</v>
      </c>
      <c r="D1" s="5" t="s">
        <v>289</v>
      </c>
      <c r="E1" s="5" t="s">
        <v>327</v>
      </c>
      <c r="F1" s="5" t="s">
        <v>328</v>
      </c>
    </row>
    <row r="2" customFormat="false" ht="15" hidden="false" customHeight="false" outlineLevel="0" collapsed="false">
      <c r="A2" s="10" t="n">
        <v>1</v>
      </c>
      <c r="B2" s="10" t="n">
        <v>1</v>
      </c>
      <c r="C2" s="10" t="n">
        <v>2025</v>
      </c>
      <c r="D2" s="10" t="n">
        <v>1</v>
      </c>
      <c r="E2" s="17" t="n">
        <v>80800</v>
      </c>
      <c r="F2" s="10" t="n">
        <v>408</v>
      </c>
    </row>
    <row r="3" customFormat="false" ht="15" hidden="false" customHeight="false" outlineLevel="0" collapsed="false">
      <c r="A3" s="11" t="n">
        <v>2</v>
      </c>
      <c r="B3" s="11" t="n">
        <v>1</v>
      </c>
      <c r="C3" s="11" t="n">
        <v>2025</v>
      </c>
      <c r="D3" s="11" t="n">
        <v>2</v>
      </c>
      <c r="E3" s="18" t="n">
        <v>80800</v>
      </c>
      <c r="F3" s="11" t="n">
        <v>408</v>
      </c>
    </row>
    <row r="4" customFormat="false" ht="15" hidden="false" customHeight="false" outlineLevel="0" collapsed="false">
      <c r="A4" s="10" t="n">
        <v>3</v>
      </c>
      <c r="B4" s="10" t="n">
        <v>1</v>
      </c>
      <c r="C4" s="10" t="n">
        <v>2025</v>
      </c>
      <c r="D4" s="10" t="n">
        <v>3</v>
      </c>
      <c r="E4" s="17" t="n">
        <v>87400</v>
      </c>
      <c r="F4" s="10" t="n">
        <v>441</v>
      </c>
    </row>
    <row r="5" customFormat="false" ht="15" hidden="false" customHeight="false" outlineLevel="0" collapsed="false">
      <c r="A5" s="11" t="n">
        <v>4</v>
      </c>
      <c r="B5" s="11" t="n">
        <v>1</v>
      </c>
      <c r="C5" s="11" t="n">
        <v>2025</v>
      </c>
      <c r="D5" s="11" t="n">
        <v>4</v>
      </c>
      <c r="E5" s="18" t="n">
        <v>89300</v>
      </c>
      <c r="F5" s="11" t="n">
        <v>451</v>
      </c>
    </row>
    <row r="6" customFormat="false" ht="15" hidden="false" customHeight="false" outlineLevel="0" collapsed="false">
      <c r="A6" s="10" t="n">
        <v>5</v>
      </c>
      <c r="B6" s="10" t="n">
        <v>1</v>
      </c>
      <c r="C6" s="10" t="n">
        <v>2025</v>
      </c>
      <c r="D6" s="10" t="n">
        <v>5</v>
      </c>
      <c r="E6" s="17" t="n">
        <v>93100</v>
      </c>
      <c r="F6" s="10" t="n">
        <v>470</v>
      </c>
    </row>
    <row r="7" customFormat="false" ht="15" hidden="false" customHeight="false" outlineLevel="0" collapsed="false">
      <c r="A7" s="11" t="n">
        <v>6</v>
      </c>
      <c r="B7" s="11" t="n">
        <v>1</v>
      </c>
      <c r="C7" s="11" t="n">
        <v>2025</v>
      </c>
      <c r="D7" s="11" t="n">
        <v>6</v>
      </c>
      <c r="E7" s="18" t="n">
        <v>99800</v>
      </c>
      <c r="F7" s="11" t="n">
        <v>504</v>
      </c>
    </row>
    <row r="8" customFormat="false" ht="15" hidden="false" customHeight="false" outlineLevel="0" collapsed="false">
      <c r="A8" s="10" t="n">
        <v>7</v>
      </c>
      <c r="B8" s="10" t="n">
        <v>1</v>
      </c>
      <c r="C8" s="10" t="n">
        <v>2025</v>
      </c>
      <c r="D8" s="10" t="n">
        <v>7</v>
      </c>
      <c r="E8" s="17" t="n">
        <v>102600</v>
      </c>
      <c r="F8" s="10" t="n">
        <v>518</v>
      </c>
    </row>
    <row r="9" customFormat="false" ht="15" hidden="false" customHeight="false" outlineLevel="0" collapsed="false">
      <c r="A9" s="11" t="n">
        <v>8</v>
      </c>
      <c r="B9" s="11" t="n">
        <v>1</v>
      </c>
      <c r="C9" s="11" t="n">
        <v>2025</v>
      </c>
      <c r="D9" s="11" t="n">
        <v>8</v>
      </c>
      <c r="E9" s="18" t="n">
        <v>99800</v>
      </c>
      <c r="F9" s="11" t="n">
        <v>504</v>
      </c>
    </row>
    <row r="10" customFormat="false" ht="15" hidden="false" customHeight="false" outlineLevel="0" collapsed="false">
      <c r="A10" s="10" t="n">
        <v>9</v>
      </c>
      <c r="B10" s="10" t="n">
        <v>1</v>
      </c>
      <c r="C10" s="10" t="n">
        <v>2025</v>
      </c>
      <c r="D10" s="10" t="n">
        <v>9</v>
      </c>
      <c r="E10" s="17" t="n">
        <v>95000</v>
      </c>
      <c r="F10" s="10" t="n">
        <v>480</v>
      </c>
    </row>
    <row r="11" customFormat="false" ht="15" hidden="false" customHeight="false" outlineLevel="0" collapsed="false">
      <c r="A11" s="11" t="n">
        <v>10</v>
      </c>
      <c r="B11" s="11" t="n">
        <v>1</v>
      </c>
      <c r="C11" s="11" t="n">
        <v>2025</v>
      </c>
      <c r="D11" s="11" t="n">
        <v>10</v>
      </c>
      <c r="E11" s="18" t="n">
        <v>104500</v>
      </c>
      <c r="F11" s="11" t="n">
        <v>528</v>
      </c>
    </row>
    <row r="12" customFormat="false" ht="15" hidden="false" customHeight="false" outlineLevel="0" collapsed="false">
      <c r="A12" s="10" t="n">
        <v>11</v>
      </c>
      <c r="B12" s="10" t="n">
        <v>1</v>
      </c>
      <c r="C12" s="10" t="n">
        <v>2025</v>
      </c>
      <c r="D12" s="10" t="n">
        <v>11</v>
      </c>
      <c r="E12" s="17" t="n">
        <v>112100</v>
      </c>
      <c r="F12" s="10" t="n">
        <v>566</v>
      </c>
    </row>
    <row r="13" customFormat="false" ht="15" hidden="false" customHeight="false" outlineLevel="0" collapsed="false">
      <c r="A13" s="11" t="n">
        <v>12</v>
      </c>
      <c r="B13" s="11" t="n">
        <v>1</v>
      </c>
      <c r="C13" s="11" t="n">
        <v>2025</v>
      </c>
      <c r="D13" s="11" t="n">
        <v>12</v>
      </c>
      <c r="E13" s="18" t="n">
        <v>115900</v>
      </c>
      <c r="F13" s="11" t="n">
        <v>585</v>
      </c>
    </row>
    <row r="14" customFormat="false" ht="15" hidden="false" customHeight="false" outlineLevel="0" collapsed="false">
      <c r="A14" s="10" t="n">
        <v>13</v>
      </c>
      <c r="B14" s="10" t="n">
        <v>2</v>
      </c>
      <c r="C14" s="10" t="n">
        <v>2025</v>
      </c>
      <c r="D14" s="10" t="n">
        <v>1</v>
      </c>
      <c r="E14" s="17" t="n">
        <v>51000</v>
      </c>
      <c r="F14" s="10" t="n">
        <v>255</v>
      </c>
    </row>
    <row r="15" customFormat="false" ht="15" hidden="false" customHeight="false" outlineLevel="0" collapsed="false">
      <c r="A15" s="11" t="n">
        <v>14</v>
      </c>
      <c r="B15" s="11" t="n">
        <v>2</v>
      </c>
      <c r="C15" s="11" t="n">
        <v>2025</v>
      </c>
      <c r="D15" s="11" t="n">
        <v>2</v>
      </c>
      <c r="E15" s="18" t="n">
        <v>51000</v>
      </c>
      <c r="F15" s="11" t="n">
        <v>255</v>
      </c>
    </row>
    <row r="16" customFormat="false" ht="15" hidden="false" customHeight="false" outlineLevel="0" collapsed="false">
      <c r="A16" s="10" t="n">
        <v>15</v>
      </c>
      <c r="B16" s="10" t="n">
        <v>2</v>
      </c>
      <c r="C16" s="10" t="n">
        <v>2025</v>
      </c>
      <c r="D16" s="10" t="n">
        <v>3</v>
      </c>
      <c r="E16" s="17" t="n">
        <v>55200</v>
      </c>
      <c r="F16" s="10" t="n">
        <v>276</v>
      </c>
    </row>
    <row r="17" customFormat="false" ht="15" hidden="false" customHeight="false" outlineLevel="0" collapsed="false">
      <c r="A17" s="11" t="n">
        <v>16</v>
      </c>
      <c r="B17" s="11" t="n">
        <v>2</v>
      </c>
      <c r="C17" s="11" t="n">
        <v>2025</v>
      </c>
      <c r="D17" s="11" t="n">
        <v>4</v>
      </c>
      <c r="E17" s="18" t="n">
        <v>56400</v>
      </c>
      <c r="F17" s="11" t="n">
        <v>282</v>
      </c>
    </row>
    <row r="18" customFormat="false" ht="15" hidden="false" customHeight="false" outlineLevel="0" collapsed="false">
      <c r="A18" s="10" t="n">
        <v>17</v>
      </c>
      <c r="B18" s="10" t="n">
        <v>2</v>
      </c>
      <c r="C18" s="10" t="n">
        <v>2025</v>
      </c>
      <c r="D18" s="10" t="n">
        <v>5</v>
      </c>
      <c r="E18" s="17" t="n">
        <v>58800</v>
      </c>
      <c r="F18" s="10" t="n">
        <v>294</v>
      </c>
    </row>
    <row r="19" customFormat="false" ht="15" hidden="false" customHeight="false" outlineLevel="0" collapsed="false">
      <c r="A19" s="11" t="n">
        <v>18</v>
      </c>
      <c r="B19" s="11" t="n">
        <v>2</v>
      </c>
      <c r="C19" s="11" t="n">
        <v>2025</v>
      </c>
      <c r="D19" s="11" t="n">
        <v>6</v>
      </c>
      <c r="E19" s="18" t="n">
        <v>63000</v>
      </c>
      <c r="F19" s="11" t="n">
        <v>315</v>
      </c>
    </row>
    <row r="20" customFormat="false" ht="15" hidden="false" customHeight="false" outlineLevel="0" collapsed="false">
      <c r="A20" s="10" t="n">
        <v>19</v>
      </c>
      <c r="B20" s="10" t="n">
        <v>2</v>
      </c>
      <c r="C20" s="10" t="n">
        <v>2025</v>
      </c>
      <c r="D20" s="10" t="n">
        <v>7</v>
      </c>
      <c r="E20" s="17" t="n">
        <v>64800</v>
      </c>
      <c r="F20" s="10" t="n">
        <v>324</v>
      </c>
    </row>
    <row r="21" customFormat="false" ht="15" hidden="false" customHeight="false" outlineLevel="0" collapsed="false">
      <c r="A21" s="11" t="n">
        <v>20</v>
      </c>
      <c r="B21" s="11" t="n">
        <v>2</v>
      </c>
      <c r="C21" s="11" t="n">
        <v>2025</v>
      </c>
      <c r="D21" s="11" t="n">
        <v>8</v>
      </c>
      <c r="E21" s="18" t="n">
        <v>63000</v>
      </c>
      <c r="F21" s="11" t="n">
        <v>315</v>
      </c>
    </row>
    <row r="22" customFormat="false" ht="15" hidden="false" customHeight="false" outlineLevel="0" collapsed="false">
      <c r="A22" s="10" t="n">
        <v>21</v>
      </c>
      <c r="B22" s="10" t="n">
        <v>2</v>
      </c>
      <c r="C22" s="10" t="n">
        <v>2025</v>
      </c>
      <c r="D22" s="10" t="n">
        <v>9</v>
      </c>
      <c r="E22" s="17" t="n">
        <v>60000</v>
      </c>
      <c r="F22" s="10" t="n">
        <v>300</v>
      </c>
    </row>
    <row r="23" customFormat="false" ht="15" hidden="false" customHeight="false" outlineLevel="0" collapsed="false">
      <c r="A23" s="11" t="n">
        <v>22</v>
      </c>
      <c r="B23" s="11" t="n">
        <v>2</v>
      </c>
      <c r="C23" s="11" t="n">
        <v>2025</v>
      </c>
      <c r="D23" s="11" t="n">
        <v>10</v>
      </c>
      <c r="E23" s="18" t="n">
        <v>66000</v>
      </c>
      <c r="F23" s="11" t="n">
        <v>330</v>
      </c>
    </row>
    <row r="24" customFormat="false" ht="15" hidden="false" customHeight="false" outlineLevel="0" collapsed="false">
      <c r="A24" s="10" t="n">
        <v>23</v>
      </c>
      <c r="B24" s="10" t="n">
        <v>2</v>
      </c>
      <c r="C24" s="10" t="n">
        <v>2025</v>
      </c>
      <c r="D24" s="10" t="n">
        <v>11</v>
      </c>
      <c r="E24" s="17" t="n">
        <v>70800</v>
      </c>
      <c r="F24" s="10" t="n">
        <v>354</v>
      </c>
    </row>
    <row r="25" customFormat="false" ht="15" hidden="false" customHeight="false" outlineLevel="0" collapsed="false">
      <c r="A25" s="11" t="n">
        <v>24</v>
      </c>
      <c r="B25" s="11" t="n">
        <v>2</v>
      </c>
      <c r="C25" s="11" t="n">
        <v>2025</v>
      </c>
      <c r="D25" s="11" t="n">
        <v>12</v>
      </c>
      <c r="E25" s="18" t="n">
        <v>73200</v>
      </c>
      <c r="F25" s="11" t="n">
        <v>366</v>
      </c>
    </row>
    <row r="26" customFormat="false" ht="15" hidden="false" customHeight="false" outlineLevel="0" collapsed="false">
      <c r="A26" s="10" t="n">
        <v>25</v>
      </c>
      <c r="B26" s="10" t="n">
        <v>3</v>
      </c>
      <c r="C26" s="10" t="n">
        <v>2025</v>
      </c>
      <c r="D26" s="10" t="n">
        <v>1</v>
      </c>
      <c r="E26" s="17" t="n">
        <v>55200</v>
      </c>
      <c r="F26" s="10" t="n">
        <v>272</v>
      </c>
    </row>
    <row r="27" customFormat="false" ht="15" hidden="false" customHeight="false" outlineLevel="0" collapsed="false">
      <c r="A27" s="11" t="n">
        <v>26</v>
      </c>
      <c r="B27" s="11" t="n">
        <v>3</v>
      </c>
      <c r="C27" s="11" t="n">
        <v>2025</v>
      </c>
      <c r="D27" s="11" t="n">
        <v>2</v>
      </c>
      <c r="E27" s="18" t="n">
        <v>55200</v>
      </c>
      <c r="F27" s="11" t="n">
        <v>272</v>
      </c>
    </row>
    <row r="28" customFormat="false" ht="15" hidden="false" customHeight="false" outlineLevel="0" collapsed="false">
      <c r="A28" s="10" t="n">
        <v>27</v>
      </c>
      <c r="B28" s="10" t="n">
        <v>3</v>
      </c>
      <c r="C28" s="10" t="n">
        <v>2025</v>
      </c>
      <c r="D28" s="10" t="n">
        <v>3</v>
      </c>
      <c r="E28" s="17" t="n">
        <v>59800</v>
      </c>
      <c r="F28" s="10" t="n">
        <v>294</v>
      </c>
    </row>
    <row r="29" customFormat="false" ht="15" hidden="false" customHeight="false" outlineLevel="0" collapsed="false">
      <c r="A29" s="11" t="n">
        <v>28</v>
      </c>
      <c r="B29" s="11" t="n">
        <v>3</v>
      </c>
      <c r="C29" s="11" t="n">
        <v>2025</v>
      </c>
      <c r="D29" s="11" t="n">
        <v>4</v>
      </c>
      <c r="E29" s="18" t="n">
        <v>61100</v>
      </c>
      <c r="F29" s="11" t="n">
        <v>300</v>
      </c>
    </row>
    <row r="30" customFormat="false" ht="15" hidden="false" customHeight="false" outlineLevel="0" collapsed="false">
      <c r="A30" s="10" t="n">
        <v>29</v>
      </c>
      <c r="B30" s="10" t="n">
        <v>3</v>
      </c>
      <c r="C30" s="10" t="n">
        <v>2025</v>
      </c>
      <c r="D30" s="10" t="n">
        <v>5</v>
      </c>
      <c r="E30" s="17" t="n">
        <v>63700</v>
      </c>
      <c r="F30" s="10" t="n">
        <v>313</v>
      </c>
    </row>
    <row r="31" customFormat="false" ht="15" hidden="false" customHeight="false" outlineLevel="0" collapsed="false">
      <c r="A31" s="11" t="n">
        <v>30</v>
      </c>
      <c r="B31" s="11" t="n">
        <v>3</v>
      </c>
      <c r="C31" s="11" t="n">
        <v>2025</v>
      </c>
      <c r="D31" s="11" t="n">
        <v>6</v>
      </c>
      <c r="E31" s="18" t="n">
        <v>68200</v>
      </c>
      <c r="F31" s="11" t="n">
        <v>336</v>
      </c>
    </row>
    <row r="32" customFormat="false" ht="15" hidden="false" customHeight="false" outlineLevel="0" collapsed="false">
      <c r="A32" s="10" t="n">
        <v>31</v>
      </c>
      <c r="B32" s="10" t="n">
        <v>3</v>
      </c>
      <c r="C32" s="10" t="n">
        <v>2025</v>
      </c>
      <c r="D32" s="10" t="n">
        <v>7</v>
      </c>
      <c r="E32" s="17" t="n">
        <v>70200</v>
      </c>
      <c r="F32" s="10" t="n">
        <v>345</v>
      </c>
    </row>
    <row r="33" customFormat="false" ht="15" hidden="false" customHeight="false" outlineLevel="0" collapsed="false">
      <c r="A33" s="11" t="n">
        <v>32</v>
      </c>
      <c r="B33" s="11" t="n">
        <v>3</v>
      </c>
      <c r="C33" s="11" t="n">
        <v>2025</v>
      </c>
      <c r="D33" s="11" t="n">
        <v>8</v>
      </c>
      <c r="E33" s="18" t="n">
        <v>68200</v>
      </c>
      <c r="F33" s="11" t="n">
        <v>336</v>
      </c>
    </row>
    <row r="34" customFormat="false" ht="15" hidden="false" customHeight="false" outlineLevel="0" collapsed="false">
      <c r="A34" s="10" t="n">
        <v>33</v>
      </c>
      <c r="B34" s="10" t="n">
        <v>3</v>
      </c>
      <c r="C34" s="10" t="n">
        <v>2025</v>
      </c>
      <c r="D34" s="10" t="n">
        <v>9</v>
      </c>
      <c r="E34" s="17" t="n">
        <v>65000</v>
      </c>
      <c r="F34" s="10" t="n">
        <v>320</v>
      </c>
    </row>
    <row r="35" customFormat="false" ht="15" hidden="false" customHeight="false" outlineLevel="0" collapsed="false">
      <c r="A35" s="11" t="n">
        <v>34</v>
      </c>
      <c r="B35" s="11" t="n">
        <v>3</v>
      </c>
      <c r="C35" s="11" t="n">
        <v>2025</v>
      </c>
      <c r="D35" s="11" t="n">
        <v>10</v>
      </c>
      <c r="E35" s="18" t="n">
        <v>71500</v>
      </c>
      <c r="F35" s="11" t="n">
        <v>352</v>
      </c>
    </row>
    <row r="36" customFormat="false" ht="15" hidden="false" customHeight="false" outlineLevel="0" collapsed="false">
      <c r="A36" s="10" t="n">
        <v>35</v>
      </c>
      <c r="B36" s="10" t="n">
        <v>3</v>
      </c>
      <c r="C36" s="10" t="n">
        <v>2025</v>
      </c>
      <c r="D36" s="10" t="n">
        <v>11</v>
      </c>
      <c r="E36" s="17" t="n">
        <v>76700</v>
      </c>
      <c r="F36" s="10" t="n">
        <v>377</v>
      </c>
    </row>
    <row r="37" customFormat="false" ht="15" hidden="false" customHeight="false" outlineLevel="0" collapsed="false">
      <c r="A37" s="11" t="n">
        <v>36</v>
      </c>
      <c r="B37" s="11" t="n">
        <v>3</v>
      </c>
      <c r="C37" s="11" t="n">
        <v>2025</v>
      </c>
      <c r="D37" s="11" t="n">
        <v>12</v>
      </c>
      <c r="E37" s="18" t="n">
        <v>79300</v>
      </c>
      <c r="F37" s="11" t="n">
        <v>390</v>
      </c>
    </row>
    <row r="38" customFormat="false" ht="15" hidden="false" customHeight="false" outlineLevel="0" collapsed="false">
      <c r="A38" s="10" t="n">
        <v>37</v>
      </c>
      <c r="B38" s="10" t="n">
        <v>4</v>
      </c>
      <c r="C38" s="10" t="n">
        <v>2025</v>
      </c>
      <c r="D38" s="10" t="n">
        <v>1</v>
      </c>
      <c r="E38" s="17" t="n">
        <v>72200</v>
      </c>
      <c r="F38" s="10" t="n">
        <v>357</v>
      </c>
    </row>
    <row r="39" customFormat="false" ht="15" hidden="false" customHeight="false" outlineLevel="0" collapsed="false">
      <c r="A39" s="11" t="n">
        <v>38</v>
      </c>
      <c r="B39" s="11" t="n">
        <v>4</v>
      </c>
      <c r="C39" s="11" t="n">
        <v>2025</v>
      </c>
      <c r="D39" s="11" t="n">
        <v>2</v>
      </c>
      <c r="E39" s="18" t="n">
        <v>72200</v>
      </c>
      <c r="F39" s="11" t="n">
        <v>357</v>
      </c>
    </row>
    <row r="40" customFormat="false" ht="15" hidden="false" customHeight="false" outlineLevel="0" collapsed="false">
      <c r="A40" s="10" t="n">
        <v>39</v>
      </c>
      <c r="B40" s="10" t="n">
        <v>4</v>
      </c>
      <c r="C40" s="10" t="n">
        <v>2025</v>
      </c>
      <c r="D40" s="10" t="n">
        <v>3</v>
      </c>
      <c r="E40" s="17" t="n">
        <v>78200</v>
      </c>
      <c r="F40" s="10" t="n">
        <v>386</v>
      </c>
    </row>
    <row r="41" customFormat="false" ht="15" hidden="false" customHeight="false" outlineLevel="0" collapsed="false">
      <c r="A41" s="11" t="n">
        <v>40</v>
      </c>
      <c r="B41" s="11" t="n">
        <v>4</v>
      </c>
      <c r="C41" s="11" t="n">
        <v>2025</v>
      </c>
      <c r="D41" s="11" t="n">
        <v>4</v>
      </c>
      <c r="E41" s="18" t="n">
        <v>79900</v>
      </c>
      <c r="F41" s="11" t="n">
        <v>394</v>
      </c>
    </row>
    <row r="42" customFormat="false" ht="15" hidden="false" customHeight="false" outlineLevel="0" collapsed="false">
      <c r="A42" s="10" t="n">
        <v>41</v>
      </c>
      <c r="B42" s="10" t="n">
        <v>4</v>
      </c>
      <c r="C42" s="10" t="n">
        <v>2025</v>
      </c>
      <c r="D42" s="10" t="n">
        <v>5</v>
      </c>
      <c r="E42" s="17" t="n">
        <v>83300</v>
      </c>
      <c r="F42" s="10" t="n">
        <v>411</v>
      </c>
    </row>
    <row r="43" customFormat="false" ht="15" hidden="false" customHeight="false" outlineLevel="0" collapsed="false">
      <c r="A43" s="11" t="n">
        <v>42</v>
      </c>
      <c r="B43" s="11" t="n">
        <v>4</v>
      </c>
      <c r="C43" s="11" t="n">
        <v>2025</v>
      </c>
      <c r="D43" s="11" t="n">
        <v>6</v>
      </c>
      <c r="E43" s="18" t="n">
        <v>89200</v>
      </c>
      <c r="F43" s="11" t="n">
        <v>441</v>
      </c>
    </row>
    <row r="44" customFormat="false" ht="15" hidden="false" customHeight="false" outlineLevel="0" collapsed="false">
      <c r="A44" s="10" t="n">
        <v>43</v>
      </c>
      <c r="B44" s="10" t="n">
        <v>4</v>
      </c>
      <c r="C44" s="10" t="n">
        <v>2025</v>
      </c>
      <c r="D44" s="10" t="n">
        <v>7</v>
      </c>
      <c r="E44" s="17" t="n">
        <v>91800</v>
      </c>
      <c r="F44" s="10" t="n">
        <v>453</v>
      </c>
    </row>
    <row r="45" customFormat="false" ht="15" hidden="false" customHeight="false" outlineLevel="0" collapsed="false">
      <c r="A45" s="11" t="n">
        <v>44</v>
      </c>
      <c r="B45" s="11" t="n">
        <v>4</v>
      </c>
      <c r="C45" s="11" t="n">
        <v>2025</v>
      </c>
      <c r="D45" s="11" t="n">
        <v>8</v>
      </c>
      <c r="E45" s="18" t="n">
        <v>89200</v>
      </c>
      <c r="F45" s="11" t="n">
        <v>441</v>
      </c>
    </row>
    <row r="46" customFormat="false" ht="15" hidden="false" customHeight="false" outlineLevel="0" collapsed="false">
      <c r="A46" s="10" t="n">
        <v>45</v>
      </c>
      <c r="B46" s="10" t="n">
        <v>4</v>
      </c>
      <c r="C46" s="10" t="n">
        <v>2025</v>
      </c>
      <c r="D46" s="10" t="n">
        <v>9</v>
      </c>
      <c r="E46" s="17" t="n">
        <v>85000</v>
      </c>
      <c r="F46" s="10" t="n">
        <v>420</v>
      </c>
    </row>
    <row r="47" customFormat="false" ht="15" hidden="false" customHeight="false" outlineLevel="0" collapsed="false">
      <c r="A47" s="11" t="n">
        <v>46</v>
      </c>
      <c r="B47" s="11" t="n">
        <v>4</v>
      </c>
      <c r="C47" s="11" t="n">
        <v>2025</v>
      </c>
      <c r="D47" s="11" t="n">
        <v>10</v>
      </c>
      <c r="E47" s="18" t="n">
        <v>93500</v>
      </c>
      <c r="F47" s="11" t="n">
        <v>462</v>
      </c>
    </row>
    <row r="48" customFormat="false" ht="15" hidden="false" customHeight="false" outlineLevel="0" collapsed="false">
      <c r="A48" s="10" t="n">
        <v>47</v>
      </c>
      <c r="B48" s="10" t="n">
        <v>4</v>
      </c>
      <c r="C48" s="10" t="n">
        <v>2025</v>
      </c>
      <c r="D48" s="10" t="n">
        <v>11</v>
      </c>
      <c r="E48" s="17" t="n">
        <v>100300</v>
      </c>
      <c r="F48" s="10" t="n">
        <v>495</v>
      </c>
    </row>
    <row r="49" customFormat="false" ht="15" hidden="false" customHeight="false" outlineLevel="0" collapsed="false">
      <c r="A49" s="11" t="n">
        <v>48</v>
      </c>
      <c r="B49" s="11" t="n">
        <v>4</v>
      </c>
      <c r="C49" s="11" t="n">
        <v>2025</v>
      </c>
      <c r="D49" s="11" t="n">
        <v>12</v>
      </c>
      <c r="E49" s="18" t="n">
        <v>103700</v>
      </c>
      <c r="F49" s="11" t="n">
        <v>512</v>
      </c>
    </row>
    <row r="50" customFormat="false" ht="15" hidden="false" customHeight="false" outlineLevel="0" collapsed="false">
      <c r="A50" s="10" t="n">
        <v>49</v>
      </c>
      <c r="B50" s="10" t="n">
        <v>5</v>
      </c>
      <c r="C50" s="10" t="n">
        <v>2025</v>
      </c>
      <c r="D50" s="10" t="n">
        <v>1</v>
      </c>
      <c r="E50" s="17" t="n">
        <v>29800</v>
      </c>
      <c r="F50" s="10" t="n">
        <v>153</v>
      </c>
    </row>
    <row r="51" customFormat="false" ht="15" hidden="false" customHeight="false" outlineLevel="0" collapsed="false">
      <c r="A51" s="11" t="n">
        <v>50</v>
      </c>
      <c r="B51" s="11" t="n">
        <v>5</v>
      </c>
      <c r="C51" s="11" t="n">
        <v>2025</v>
      </c>
      <c r="D51" s="11" t="n">
        <v>2</v>
      </c>
      <c r="E51" s="18" t="n">
        <v>29800</v>
      </c>
      <c r="F51" s="11" t="n">
        <v>153</v>
      </c>
    </row>
    <row r="52" customFormat="false" ht="15" hidden="false" customHeight="false" outlineLevel="0" collapsed="false">
      <c r="A52" s="10" t="n">
        <v>51</v>
      </c>
      <c r="B52" s="10" t="n">
        <v>5</v>
      </c>
      <c r="C52" s="10" t="n">
        <v>2025</v>
      </c>
      <c r="D52" s="10" t="n">
        <v>3</v>
      </c>
      <c r="E52" s="17" t="n">
        <v>32200</v>
      </c>
      <c r="F52" s="10" t="n">
        <v>165</v>
      </c>
    </row>
    <row r="53" customFormat="false" ht="15" hidden="false" customHeight="false" outlineLevel="0" collapsed="false">
      <c r="A53" s="11" t="n">
        <v>52</v>
      </c>
      <c r="B53" s="11" t="n">
        <v>5</v>
      </c>
      <c r="C53" s="11" t="n">
        <v>2025</v>
      </c>
      <c r="D53" s="11" t="n">
        <v>4</v>
      </c>
      <c r="E53" s="18" t="n">
        <v>32900</v>
      </c>
      <c r="F53" s="11" t="n">
        <v>169</v>
      </c>
    </row>
    <row r="54" customFormat="false" ht="15" hidden="false" customHeight="false" outlineLevel="0" collapsed="false">
      <c r="A54" s="10" t="n">
        <v>53</v>
      </c>
      <c r="B54" s="10" t="n">
        <v>5</v>
      </c>
      <c r="C54" s="10" t="n">
        <v>2025</v>
      </c>
      <c r="D54" s="10" t="n">
        <v>5</v>
      </c>
      <c r="E54" s="17" t="n">
        <v>34300</v>
      </c>
      <c r="F54" s="10" t="n">
        <v>176</v>
      </c>
    </row>
    <row r="55" customFormat="false" ht="15" hidden="false" customHeight="false" outlineLevel="0" collapsed="false">
      <c r="A55" s="11" t="n">
        <v>54</v>
      </c>
      <c r="B55" s="11" t="n">
        <v>5</v>
      </c>
      <c r="C55" s="11" t="n">
        <v>2025</v>
      </c>
      <c r="D55" s="11" t="n">
        <v>6</v>
      </c>
      <c r="E55" s="18" t="n">
        <v>36800</v>
      </c>
      <c r="F55" s="11" t="n">
        <v>189</v>
      </c>
    </row>
    <row r="56" customFormat="false" ht="15" hidden="false" customHeight="false" outlineLevel="0" collapsed="false">
      <c r="A56" s="10" t="n">
        <v>55</v>
      </c>
      <c r="B56" s="10" t="n">
        <v>5</v>
      </c>
      <c r="C56" s="10" t="n">
        <v>2025</v>
      </c>
      <c r="D56" s="10" t="n">
        <v>7</v>
      </c>
      <c r="E56" s="17" t="n">
        <v>37800</v>
      </c>
      <c r="F56" s="10" t="n">
        <v>194</v>
      </c>
    </row>
    <row r="57" customFormat="false" ht="15" hidden="false" customHeight="false" outlineLevel="0" collapsed="false">
      <c r="A57" s="11" t="n">
        <v>56</v>
      </c>
      <c r="B57" s="11" t="n">
        <v>5</v>
      </c>
      <c r="C57" s="11" t="n">
        <v>2025</v>
      </c>
      <c r="D57" s="11" t="n">
        <v>8</v>
      </c>
      <c r="E57" s="18" t="n">
        <v>36800</v>
      </c>
      <c r="F57" s="11" t="n">
        <v>189</v>
      </c>
    </row>
    <row r="58" customFormat="false" ht="15" hidden="false" customHeight="false" outlineLevel="0" collapsed="false">
      <c r="A58" s="10" t="n">
        <v>57</v>
      </c>
      <c r="B58" s="10" t="n">
        <v>5</v>
      </c>
      <c r="C58" s="10" t="n">
        <v>2025</v>
      </c>
      <c r="D58" s="10" t="n">
        <v>9</v>
      </c>
      <c r="E58" s="17" t="n">
        <v>35000</v>
      </c>
      <c r="F58" s="10" t="n">
        <v>180</v>
      </c>
    </row>
    <row r="59" customFormat="false" ht="15" hidden="false" customHeight="false" outlineLevel="0" collapsed="false">
      <c r="A59" s="11" t="n">
        <v>58</v>
      </c>
      <c r="B59" s="11" t="n">
        <v>5</v>
      </c>
      <c r="C59" s="11" t="n">
        <v>2025</v>
      </c>
      <c r="D59" s="11" t="n">
        <v>10</v>
      </c>
      <c r="E59" s="18" t="n">
        <v>38500</v>
      </c>
      <c r="F59" s="11" t="n">
        <v>198</v>
      </c>
    </row>
    <row r="60" customFormat="false" ht="15" hidden="false" customHeight="false" outlineLevel="0" collapsed="false">
      <c r="A60" s="10" t="n">
        <v>59</v>
      </c>
      <c r="B60" s="10" t="n">
        <v>5</v>
      </c>
      <c r="C60" s="10" t="n">
        <v>2025</v>
      </c>
      <c r="D60" s="10" t="n">
        <v>11</v>
      </c>
      <c r="E60" s="17" t="n">
        <v>41300</v>
      </c>
      <c r="F60" s="10" t="n">
        <v>212</v>
      </c>
    </row>
    <row r="61" customFormat="false" ht="15" hidden="false" customHeight="false" outlineLevel="0" collapsed="false">
      <c r="A61" s="11" t="n">
        <v>60</v>
      </c>
      <c r="B61" s="11" t="n">
        <v>5</v>
      </c>
      <c r="C61" s="11" t="n">
        <v>2025</v>
      </c>
      <c r="D61" s="11" t="n">
        <v>12</v>
      </c>
      <c r="E61" s="18" t="n">
        <v>42700</v>
      </c>
      <c r="F61" s="11" t="n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5" t="s">
        <v>329</v>
      </c>
      <c r="B1" s="5" t="s">
        <v>287</v>
      </c>
      <c r="C1" s="5" t="s">
        <v>52</v>
      </c>
      <c r="D1" s="5" t="s">
        <v>330</v>
      </c>
      <c r="E1" s="5" t="s">
        <v>331</v>
      </c>
      <c r="F1" s="5" t="s">
        <v>332</v>
      </c>
      <c r="G1" s="5" t="s">
        <v>333</v>
      </c>
      <c r="H1" s="5" t="s">
        <v>334</v>
      </c>
      <c r="I1" s="5" t="s">
        <v>335</v>
      </c>
      <c r="J1" s="5" t="s">
        <v>336</v>
      </c>
    </row>
    <row r="2" customFormat="false" ht="15" hidden="false" customHeight="false" outlineLevel="0" collapsed="false">
      <c r="A2" s="10" t="n">
        <v>1</v>
      </c>
      <c r="B2" s="14" t="n">
        <v>45782</v>
      </c>
      <c r="C2" s="10" t="n">
        <v>5</v>
      </c>
      <c r="D2" s="10" t="n">
        <v>3.7</v>
      </c>
      <c r="E2" s="10" t="n">
        <v>7</v>
      </c>
      <c r="F2" s="10" t="n">
        <v>7</v>
      </c>
      <c r="G2" s="10" t="n">
        <v>7</v>
      </c>
      <c r="H2" s="10" t="n">
        <v>7</v>
      </c>
      <c r="I2" s="10" t="n">
        <v>9.8</v>
      </c>
      <c r="J2" s="10" t="s">
        <v>302</v>
      </c>
    </row>
    <row r="3" customFormat="false" ht="15" hidden="false" customHeight="false" outlineLevel="0" collapsed="false">
      <c r="A3" s="11" t="n">
        <v>2</v>
      </c>
      <c r="B3" s="15" t="n">
        <v>45872</v>
      </c>
      <c r="C3" s="11" t="n">
        <v>3</v>
      </c>
      <c r="D3" s="11" t="n">
        <v>3.8</v>
      </c>
      <c r="E3" s="11" t="n">
        <v>6</v>
      </c>
      <c r="F3" s="11" t="n">
        <v>8</v>
      </c>
      <c r="G3" s="11" t="n">
        <v>7</v>
      </c>
      <c r="H3" s="11" t="n">
        <v>4</v>
      </c>
      <c r="I3" s="11" t="n">
        <v>7.4</v>
      </c>
      <c r="J3" s="11" t="s">
        <v>337</v>
      </c>
    </row>
    <row r="4" customFormat="false" ht="15" hidden="false" customHeight="false" outlineLevel="0" collapsed="false">
      <c r="A4" s="10" t="n">
        <v>3</v>
      </c>
      <c r="B4" s="14" t="n">
        <v>45985</v>
      </c>
      <c r="C4" s="10" t="n">
        <v>3</v>
      </c>
      <c r="D4" s="10" t="n">
        <v>11.6</v>
      </c>
      <c r="E4" s="10" t="n">
        <v>6</v>
      </c>
      <c r="F4" s="10" t="n">
        <v>9</v>
      </c>
      <c r="G4" s="10" t="n">
        <v>8</v>
      </c>
      <c r="H4" s="10" t="n">
        <v>8</v>
      </c>
      <c r="I4" s="10" t="n">
        <v>8</v>
      </c>
      <c r="J4" s="10" t="s">
        <v>302</v>
      </c>
    </row>
    <row r="5" customFormat="false" ht="15" hidden="false" customHeight="false" outlineLevel="0" collapsed="false">
      <c r="A5" s="11" t="n">
        <v>4</v>
      </c>
      <c r="B5" s="15" t="n">
        <v>45982</v>
      </c>
      <c r="C5" s="11" t="n">
        <v>5</v>
      </c>
      <c r="D5" s="11" t="n">
        <v>4.5</v>
      </c>
      <c r="E5" s="11" t="n">
        <v>6</v>
      </c>
      <c r="F5" s="11" t="n">
        <v>6</v>
      </c>
      <c r="G5" s="11" t="n">
        <v>9</v>
      </c>
      <c r="H5" s="11" t="n">
        <v>7</v>
      </c>
      <c r="I5" s="11" t="n">
        <v>8.5</v>
      </c>
      <c r="J5" s="11" t="s">
        <v>302</v>
      </c>
    </row>
    <row r="6" customFormat="false" ht="15" hidden="false" customHeight="false" outlineLevel="0" collapsed="false">
      <c r="A6" s="10" t="n">
        <v>5</v>
      </c>
      <c r="B6" s="14" t="n">
        <v>45677</v>
      </c>
      <c r="C6" s="10" t="n">
        <v>2</v>
      </c>
      <c r="D6" s="10" t="n">
        <v>8.4</v>
      </c>
      <c r="E6" s="10" t="n">
        <v>5</v>
      </c>
      <c r="F6" s="10" t="n">
        <v>9</v>
      </c>
      <c r="G6" s="10" t="n">
        <v>10</v>
      </c>
      <c r="H6" s="10" t="n">
        <v>7</v>
      </c>
      <c r="I6" s="10" t="n">
        <v>8.7</v>
      </c>
      <c r="J6" s="10" t="s">
        <v>302</v>
      </c>
    </row>
    <row r="7" customFormat="false" ht="15" hidden="false" customHeight="false" outlineLevel="0" collapsed="false">
      <c r="A7" s="11" t="n">
        <v>6</v>
      </c>
      <c r="B7" s="15" t="n">
        <v>45699</v>
      </c>
      <c r="C7" s="11" t="n">
        <v>1</v>
      </c>
      <c r="D7" s="11" t="n">
        <v>5.2</v>
      </c>
      <c r="E7" s="11" t="n">
        <v>7</v>
      </c>
      <c r="F7" s="11" t="n">
        <v>5</v>
      </c>
      <c r="G7" s="11" t="n">
        <v>7</v>
      </c>
      <c r="H7" s="11" t="n">
        <v>6</v>
      </c>
      <c r="I7" s="11" t="n">
        <v>8.6</v>
      </c>
      <c r="J7" s="11" t="s">
        <v>302</v>
      </c>
    </row>
    <row r="8" customFormat="false" ht="15" hidden="false" customHeight="false" outlineLevel="0" collapsed="false">
      <c r="A8" s="10" t="n">
        <v>7</v>
      </c>
      <c r="B8" s="14" t="n">
        <v>45661</v>
      </c>
      <c r="C8" s="10" t="n">
        <v>4</v>
      </c>
      <c r="D8" s="10" t="n">
        <v>9.1</v>
      </c>
      <c r="E8" s="10" t="n">
        <v>5</v>
      </c>
      <c r="F8" s="10" t="n">
        <v>10</v>
      </c>
      <c r="G8" s="10" t="n">
        <v>6</v>
      </c>
      <c r="H8" s="10" t="n">
        <v>5</v>
      </c>
      <c r="I8" s="10" t="n">
        <v>7.6</v>
      </c>
      <c r="J8" s="10" t="s">
        <v>302</v>
      </c>
    </row>
    <row r="9" customFormat="false" ht="15" hidden="false" customHeight="false" outlineLevel="0" collapsed="false">
      <c r="A9" s="11" t="n">
        <v>8</v>
      </c>
      <c r="B9" s="15" t="n">
        <v>45924</v>
      </c>
      <c r="C9" s="11" t="n">
        <v>3</v>
      </c>
      <c r="D9" s="11" t="n">
        <v>2.4</v>
      </c>
      <c r="E9" s="11" t="n">
        <v>5</v>
      </c>
      <c r="F9" s="11" t="n">
        <v>8</v>
      </c>
      <c r="G9" s="11" t="n">
        <v>8</v>
      </c>
      <c r="H9" s="11" t="n">
        <v>9</v>
      </c>
      <c r="I9" s="11" t="n">
        <v>9.2</v>
      </c>
      <c r="J9" s="11" t="s">
        <v>302</v>
      </c>
    </row>
    <row r="10" customFormat="false" ht="15" hidden="false" customHeight="false" outlineLevel="0" collapsed="false">
      <c r="A10" s="10" t="n">
        <v>9</v>
      </c>
      <c r="B10" s="14" t="n">
        <v>45958</v>
      </c>
      <c r="C10" s="10" t="n">
        <v>3</v>
      </c>
      <c r="D10" s="10" t="n">
        <v>3.1</v>
      </c>
      <c r="E10" s="10" t="n">
        <v>5</v>
      </c>
      <c r="F10" s="10" t="n">
        <v>5</v>
      </c>
      <c r="G10" s="10" t="n">
        <v>8</v>
      </c>
      <c r="H10" s="10" t="n">
        <v>7</v>
      </c>
      <c r="I10" s="10" t="n">
        <v>8</v>
      </c>
      <c r="J10" s="10" t="s">
        <v>302</v>
      </c>
    </row>
    <row r="11" customFormat="false" ht="15" hidden="false" customHeight="false" outlineLevel="0" collapsed="false">
      <c r="A11" s="11" t="n">
        <v>10</v>
      </c>
      <c r="B11" s="15" t="n">
        <v>45728</v>
      </c>
      <c r="C11" s="11" t="n">
        <v>5</v>
      </c>
      <c r="D11" s="11" t="n">
        <v>1.1</v>
      </c>
      <c r="E11" s="11" t="n">
        <v>8</v>
      </c>
      <c r="F11" s="11" t="n">
        <v>7</v>
      </c>
      <c r="G11" s="11" t="n">
        <v>10</v>
      </c>
      <c r="H11" s="11" t="n">
        <v>5</v>
      </c>
      <c r="I11" s="11" t="n">
        <v>10</v>
      </c>
      <c r="J11" s="11" t="s">
        <v>302</v>
      </c>
    </row>
    <row r="12" customFormat="false" ht="15" hidden="false" customHeight="false" outlineLevel="0" collapsed="false">
      <c r="A12" s="10" t="n">
        <v>11</v>
      </c>
      <c r="B12" s="14" t="n">
        <v>45778</v>
      </c>
      <c r="C12" s="10" t="n">
        <v>5</v>
      </c>
      <c r="D12" s="10" t="n">
        <v>6</v>
      </c>
      <c r="E12" s="10" t="n">
        <v>6</v>
      </c>
      <c r="F12" s="10" t="n">
        <v>7</v>
      </c>
      <c r="G12" s="10" t="n">
        <v>10</v>
      </c>
      <c r="H12" s="10" t="n">
        <v>9</v>
      </c>
      <c r="I12" s="10" t="n">
        <v>8.5</v>
      </c>
      <c r="J12" s="10" t="s">
        <v>302</v>
      </c>
    </row>
    <row r="13" customFormat="false" ht="15" hidden="false" customHeight="false" outlineLevel="0" collapsed="false">
      <c r="A13" s="11" t="n">
        <v>12</v>
      </c>
      <c r="B13" s="15" t="n">
        <v>45779</v>
      </c>
      <c r="C13" s="11" t="n">
        <v>3</v>
      </c>
      <c r="D13" s="11" t="n">
        <v>6.4</v>
      </c>
      <c r="E13" s="11" t="n">
        <v>9</v>
      </c>
      <c r="F13" s="11" t="n">
        <v>7</v>
      </c>
      <c r="G13" s="11" t="n">
        <v>9</v>
      </c>
      <c r="H13" s="11" t="n">
        <v>5</v>
      </c>
      <c r="I13" s="11" t="n">
        <v>9.1</v>
      </c>
      <c r="J13" s="11" t="s">
        <v>302</v>
      </c>
    </row>
    <row r="14" customFormat="false" ht="15" hidden="false" customHeight="false" outlineLevel="0" collapsed="false">
      <c r="A14" s="10" t="n">
        <v>13</v>
      </c>
      <c r="B14" s="14" t="n">
        <v>45881</v>
      </c>
      <c r="C14" s="10" t="n">
        <v>4</v>
      </c>
      <c r="D14" s="10" t="n">
        <v>4.6</v>
      </c>
      <c r="E14" s="10" t="n">
        <v>8</v>
      </c>
      <c r="F14" s="10" t="n">
        <v>8</v>
      </c>
      <c r="G14" s="10" t="n">
        <v>7</v>
      </c>
      <c r="H14" s="10" t="n">
        <v>6</v>
      </c>
      <c r="I14" s="10" t="n">
        <v>9.7</v>
      </c>
      <c r="J14" s="10" t="s">
        <v>302</v>
      </c>
    </row>
    <row r="15" customFormat="false" ht="15" hidden="false" customHeight="false" outlineLevel="0" collapsed="false">
      <c r="A15" s="11" t="n">
        <v>14</v>
      </c>
      <c r="B15" s="15" t="n">
        <v>45989</v>
      </c>
      <c r="C15" s="11" t="n">
        <v>1</v>
      </c>
      <c r="D15" s="11" t="n">
        <v>9.9</v>
      </c>
      <c r="E15" s="11" t="n">
        <v>7</v>
      </c>
      <c r="F15" s="11" t="n">
        <v>10</v>
      </c>
      <c r="G15" s="11" t="n">
        <v>6</v>
      </c>
      <c r="H15" s="11" t="n">
        <v>9</v>
      </c>
      <c r="I15" s="11" t="n">
        <v>8.8</v>
      </c>
      <c r="J15" s="11" t="s">
        <v>302</v>
      </c>
    </row>
    <row r="16" customFormat="false" ht="15" hidden="false" customHeight="false" outlineLevel="0" collapsed="false">
      <c r="A16" s="10" t="n">
        <v>15</v>
      </c>
      <c r="B16" s="14" t="n">
        <v>45691</v>
      </c>
      <c r="C16" s="10" t="n">
        <v>2</v>
      </c>
      <c r="D16" s="10" t="n">
        <v>8.7</v>
      </c>
      <c r="E16" s="10" t="n">
        <v>5</v>
      </c>
      <c r="F16" s="10" t="n">
        <v>4</v>
      </c>
      <c r="G16" s="10" t="n">
        <v>8</v>
      </c>
      <c r="H16" s="10" t="n">
        <v>8</v>
      </c>
      <c r="I16" s="10" t="n">
        <v>6.6</v>
      </c>
      <c r="J16" s="10" t="s">
        <v>337</v>
      </c>
    </row>
    <row r="17" customFormat="false" ht="15" hidden="false" customHeight="false" outlineLevel="0" collapsed="false">
      <c r="A17" s="11" t="n">
        <v>16</v>
      </c>
      <c r="B17" s="15" t="n">
        <v>45895</v>
      </c>
      <c r="C17" s="11" t="n">
        <v>1</v>
      </c>
      <c r="D17" s="11" t="n">
        <v>10.1</v>
      </c>
      <c r="E17" s="11" t="n">
        <v>9</v>
      </c>
      <c r="F17" s="11" t="n">
        <v>9</v>
      </c>
      <c r="G17" s="11" t="n">
        <v>7</v>
      </c>
      <c r="H17" s="11" t="n">
        <v>7</v>
      </c>
      <c r="I17" s="11" t="n">
        <v>9.1</v>
      </c>
      <c r="J17" s="11" t="s">
        <v>302</v>
      </c>
    </row>
    <row r="18" customFormat="false" ht="15" hidden="false" customHeight="false" outlineLevel="0" collapsed="false">
      <c r="A18" s="10" t="n">
        <v>17</v>
      </c>
      <c r="B18" s="14" t="n">
        <v>45886</v>
      </c>
      <c r="C18" s="10" t="n">
        <v>5</v>
      </c>
      <c r="D18" s="10" t="n">
        <v>6</v>
      </c>
      <c r="E18" s="10" t="n">
        <v>9</v>
      </c>
      <c r="F18" s="10" t="n">
        <v>5</v>
      </c>
      <c r="G18" s="10" t="n">
        <v>6</v>
      </c>
      <c r="H18" s="10" t="n">
        <v>9</v>
      </c>
      <c r="I18" s="10" t="n">
        <v>8.7</v>
      </c>
      <c r="J18" s="10" t="s">
        <v>302</v>
      </c>
    </row>
    <row r="19" customFormat="false" ht="15" hidden="false" customHeight="false" outlineLevel="0" collapsed="false">
      <c r="A19" s="11" t="n">
        <v>18</v>
      </c>
      <c r="B19" s="15" t="n">
        <v>45861</v>
      </c>
      <c r="C19" s="11" t="n">
        <v>5</v>
      </c>
      <c r="D19" s="11" t="n">
        <v>7</v>
      </c>
      <c r="E19" s="11" t="n">
        <v>10</v>
      </c>
      <c r="F19" s="11" t="n">
        <v>9</v>
      </c>
      <c r="G19" s="11" t="n">
        <v>10</v>
      </c>
      <c r="H19" s="11" t="n">
        <v>9</v>
      </c>
      <c r="I19" s="11" t="n">
        <v>10</v>
      </c>
      <c r="J19" s="11" t="s">
        <v>302</v>
      </c>
    </row>
    <row r="20" customFormat="false" ht="15" hidden="false" customHeight="false" outlineLevel="0" collapsed="false">
      <c r="A20" s="10" t="n">
        <v>19</v>
      </c>
      <c r="B20" s="14" t="n">
        <v>45932</v>
      </c>
      <c r="C20" s="10" t="n">
        <v>5</v>
      </c>
      <c r="D20" s="10" t="n">
        <v>5.3</v>
      </c>
      <c r="E20" s="10" t="n">
        <v>9</v>
      </c>
      <c r="F20" s="10" t="n">
        <v>5</v>
      </c>
      <c r="G20" s="10" t="n">
        <v>7</v>
      </c>
      <c r="H20" s="10" t="n">
        <v>4</v>
      </c>
      <c r="I20" s="10" t="n">
        <v>8.7</v>
      </c>
      <c r="J20" s="10" t="s">
        <v>302</v>
      </c>
    </row>
    <row r="21" customFormat="false" ht="15" hidden="false" customHeight="false" outlineLevel="0" collapsed="false">
      <c r="A21" s="11" t="n">
        <v>20</v>
      </c>
      <c r="B21" s="15" t="n">
        <v>45835</v>
      </c>
      <c r="C21" s="11" t="n">
        <v>2</v>
      </c>
      <c r="D21" s="11" t="n">
        <v>1</v>
      </c>
      <c r="E21" s="11" t="n">
        <v>8</v>
      </c>
      <c r="F21" s="11" t="n">
        <v>7</v>
      </c>
      <c r="G21" s="11" t="n">
        <v>9</v>
      </c>
      <c r="H21" s="11" t="n">
        <v>5</v>
      </c>
      <c r="I21" s="11" t="n">
        <v>10</v>
      </c>
      <c r="J21" s="11" t="s">
        <v>302</v>
      </c>
    </row>
    <row r="22" customFormat="false" ht="15" hidden="false" customHeight="false" outlineLevel="0" collapsed="false">
      <c r="A22" s="10" t="n">
        <v>21</v>
      </c>
      <c r="B22" s="14" t="n">
        <v>45812</v>
      </c>
      <c r="C22" s="10" t="n">
        <v>3</v>
      </c>
      <c r="D22" s="10" t="n">
        <v>9</v>
      </c>
      <c r="E22" s="10" t="n">
        <v>9</v>
      </c>
      <c r="F22" s="10" t="n">
        <v>10</v>
      </c>
      <c r="G22" s="10" t="n">
        <v>6</v>
      </c>
      <c r="H22" s="10" t="n">
        <v>6</v>
      </c>
      <c r="I22" s="10" t="n">
        <v>9.3</v>
      </c>
      <c r="J22" s="10" t="s">
        <v>302</v>
      </c>
    </row>
    <row r="23" customFormat="false" ht="15" hidden="false" customHeight="false" outlineLevel="0" collapsed="false">
      <c r="A23" s="11" t="n">
        <v>22</v>
      </c>
      <c r="B23" s="15" t="n">
        <v>45793</v>
      </c>
      <c r="C23" s="11" t="n">
        <v>3</v>
      </c>
      <c r="D23" s="11" t="n">
        <v>7</v>
      </c>
      <c r="E23" s="11" t="n">
        <v>10</v>
      </c>
      <c r="F23" s="11" t="n">
        <v>8</v>
      </c>
      <c r="G23" s="11" t="n">
        <v>9</v>
      </c>
      <c r="H23" s="11" t="n">
        <v>5</v>
      </c>
      <c r="I23" s="11" t="n">
        <v>10</v>
      </c>
      <c r="J23" s="11" t="s">
        <v>302</v>
      </c>
    </row>
    <row r="24" customFormat="false" ht="15" hidden="false" customHeight="false" outlineLevel="0" collapsed="false">
      <c r="A24" s="10" t="n">
        <v>23</v>
      </c>
      <c r="B24" s="14" t="n">
        <v>45798</v>
      </c>
      <c r="C24" s="10" t="n">
        <v>5</v>
      </c>
      <c r="D24" s="10" t="n">
        <v>7.4</v>
      </c>
      <c r="E24" s="10" t="n">
        <v>8</v>
      </c>
      <c r="F24" s="10" t="n">
        <v>8</v>
      </c>
      <c r="G24" s="10" t="n">
        <v>9</v>
      </c>
      <c r="H24" s="10" t="n">
        <v>4</v>
      </c>
      <c r="I24" s="10" t="n">
        <v>8.8</v>
      </c>
      <c r="J24" s="10" t="s">
        <v>302</v>
      </c>
    </row>
    <row r="25" customFormat="false" ht="15" hidden="false" customHeight="false" outlineLevel="0" collapsed="false">
      <c r="A25" s="11" t="n">
        <v>24</v>
      </c>
      <c r="B25" s="15" t="n">
        <v>45809</v>
      </c>
      <c r="C25" s="11" t="n">
        <v>5</v>
      </c>
      <c r="D25" s="11" t="n">
        <v>4.6</v>
      </c>
      <c r="E25" s="11" t="n">
        <v>5</v>
      </c>
      <c r="F25" s="11" t="n">
        <v>4</v>
      </c>
      <c r="G25" s="11" t="n">
        <v>8</v>
      </c>
      <c r="H25" s="11" t="n">
        <v>9</v>
      </c>
      <c r="I25" s="11" t="n">
        <v>8.1</v>
      </c>
      <c r="J25" s="11" t="s">
        <v>302</v>
      </c>
    </row>
    <row r="26" customFormat="false" ht="15" hidden="false" customHeight="false" outlineLevel="0" collapsed="false">
      <c r="A26" s="10" t="n">
        <v>25</v>
      </c>
      <c r="B26" s="14" t="n">
        <v>45729</v>
      </c>
      <c r="C26" s="10" t="n">
        <v>3</v>
      </c>
      <c r="D26" s="10" t="n">
        <v>10.2</v>
      </c>
      <c r="E26" s="10" t="n">
        <v>6</v>
      </c>
      <c r="F26" s="10" t="n">
        <v>4</v>
      </c>
      <c r="G26" s="10" t="n">
        <v>10</v>
      </c>
      <c r="H26" s="10" t="n">
        <v>8</v>
      </c>
      <c r="I26" s="10" t="n">
        <v>7.2</v>
      </c>
      <c r="J26" s="10" t="s">
        <v>337</v>
      </c>
    </row>
    <row r="27" customFormat="false" ht="15" hidden="false" customHeight="false" outlineLevel="0" collapsed="false">
      <c r="A27" s="11" t="n">
        <v>26</v>
      </c>
      <c r="B27" s="15" t="n">
        <v>45730</v>
      </c>
      <c r="C27" s="11" t="n">
        <v>1</v>
      </c>
      <c r="D27" s="11" t="n">
        <v>7.3</v>
      </c>
      <c r="E27" s="11" t="n">
        <v>10</v>
      </c>
      <c r="F27" s="11" t="n">
        <v>6</v>
      </c>
      <c r="G27" s="11" t="n">
        <v>7</v>
      </c>
      <c r="H27" s="11" t="n">
        <v>7</v>
      </c>
      <c r="I27" s="11" t="n">
        <v>9.4</v>
      </c>
      <c r="J27" s="11" t="s">
        <v>302</v>
      </c>
    </row>
    <row r="28" customFormat="false" ht="15" hidden="false" customHeight="false" outlineLevel="0" collapsed="false">
      <c r="A28" s="10" t="n">
        <v>27</v>
      </c>
      <c r="B28" s="14" t="n">
        <v>45850</v>
      </c>
      <c r="C28" s="10" t="n">
        <v>3</v>
      </c>
      <c r="D28" s="10" t="n">
        <v>2.8</v>
      </c>
      <c r="E28" s="10" t="n">
        <v>9</v>
      </c>
      <c r="F28" s="10" t="n">
        <v>10</v>
      </c>
      <c r="G28" s="10" t="n">
        <v>8</v>
      </c>
      <c r="H28" s="10" t="n">
        <v>4</v>
      </c>
      <c r="I28" s="10" t="n">
        <v>10</v>
      </c>
      <c r="J28" s="10" t="s">
        <v>302</v>
      </c>
    </row>
    <row r="29" customFormat="false" ht="15" hidden="false" customHeight="false" outlineLevel="0" collapsed="false">
      <c r="A29" s="11" t="n">
        <v>28</v>
      </c>
      <c r="B29" s="15" t="n">
        <v>45891</v>
      </c>
      <c r="C29" s="11" t="n">
        <v>4</v>
      </c>
      <c r="D29" s="11" t="n">
        <v>8.5</v>
      </c>
      <c r="E29" s="11" t="n">
        <v>8</v>
      </c>
      <c r="F29" s="11" t="n">
        <v>4</v>
      </c>
      <c r="G29" s="11" t="n">
        <v>8</v>
      </c>
      <c r="H29" s="11" t="n">
        <v>9</v>
      </c>
      <c r="I29" s="11" t="n">
        <v>8.7</v>
      </c>
      <c r="J29" s="11" t="s">
        <v>302</v>
      </c>
    </row>
    <row r="30" customFormat="false" ht="15" hidden="false" customHeight="false" outlineLevel="0" collapsed="false">
      <c r="A30" s="10" t="n">
        <v>29</v>
      </c>
      <c r="B30" s="14" t="n">
        <v>45751</v>
      </c>
      <c r="C30" s="10" t="n">
        <v>2</v>
      </c>
      <c r="D30" s="10" t="n">
        <v>6.7</v>
      </c>
      <c r="E30" s="10" t="n">
        <v>8</v>
      </c>
      <c r="F30" s="10" t="n">
        <v>9</v>
      </c>
      <c r="G30" s="10" t="n">
        <v>8</v>
      </c>
      <c r="H30" s="10" t="n">
        <v>4</v>
      </c>
      <c r="I30" s="10" t="n">
        <v>9.6</v>
      </c>
      <c r="J30" s="10" t="s">
        <v>302</v>
      </c>
    </row>
    <row r="31" customFormat="false" ht="15" hidden="false" customHeight="false" outlineLevel="0" collapsed="false">
      <c r="A31" s="11" t="n">
        <v>30</v>
      </c>
      <c r="B31" s="15" t="n">
        <v>45738</v>
      </c>
      <c r="C31" s="11" t="n">
        <v>2</v>
      </c>
      <c r="D31" s="11" t="n">
        <v>14.2</v>
      </c>
      <c r="E31" s="11" t="n">
        <v>7</v>
      </c>
      <c r="F31" s="11" t="n">
        <v>4</v>
      </c>
      <c r="G31" s="11" t="n">
        <v>9</v>
      </c>
      <c r="H31" s="11" t="n">
        <v>7</v>
      </c>
      <c r="I31" s="11" t="n">
        <v>5.7</v>
      </c>
      <c r="J31" s="11" t="s">
        <v>337</v>
      </c>
    </row>
    <row r="32" customFormat="false" ht="15" hidden="false" customHeight="false" outlineLevel="0" collapsed="false">
      <c r="A32" s="10" t="n">
        <v>31</v>
      </c>
      <c r="B32" s="14" t="n">
        <v>45916</v>
      </c>
      <c r="C32" s="10" t="n">
        <v>2</v>
      </c>
      <c r="D32" s="10" t="n">
        <v>4.7</v>
      </c>
      <c r="E32" s="10" t="n">
        <v>8</v>
      </c>
      <c r="F32" s="10" t="n">
        <v>8</v>
      </c>
      <c r="G32" s="10" t="n">
        <v>9</v>
      </c>
      <c r="H32" s="10" t="n">
        <v>5</v>
      </c>
      <c r="I32" s="10" t="n">
        <v>10</v>
      </c>
      <c r="J32" s="10" t="s">
        <v>302</v>
      </c>
    </row>
    <row r="33" customFormat="false" ht="15" hidden="false" customHeight="false" outlineLevel="0" collapsed="false">
      <c r="A33" s="11" t="n">
        <v>32</v>
      </c>
      <c r="B33" s="15" t="n">
        <v>45692</v>
      </c>
      <c r="C33" s="11" t="n">
        <v>1</v>
      </c>
      <c r="D33" s="11" t="n">
        <v>8.9</v>
      </c>
      <c r="E33" s="11" t="n">
        <v>5</v>
      </c>
      <c r="F33" s="11" t="n">
        <v>10</v>
      </c>
      <c r="G33" s="11" t="n">
        <v>7</v>
      </c>
      <c r="H33" s="11" t="n">
        <v>4</v>
      </c>
      <c r="I33" s="11" t="n">
        <v>8</v>
      </c>
      <c r="J33" s="11" t="s">
        <v>302</v>
      </c>
    </row>
    <row r="34" customFormat="false" ht="15" hidden="false" customHeight="false" outlineLevel="0" collapsed="false">
      <c r="A34" s="10" t="n">
        <v>33</v>
      </c>
      <c r="B34" s="14" t="n">
        <v>45988</v>
      </c>
      <c r="C34" s="10" t="n">
        <v>3</v>
      </c>
      <c r="D34" s="10" t="n">
        <v>3.3</v>
      </c>
      <c r="E34" s="10" t="n">
        <v>5</v>
      </c>
      <c r="F34" s="10" t="n">
        <v>7</v>
      </c>
      <c r="G34" s="10" t="n">
        <v>9</v>
      </c>
      <c r="H34" s="10" t="n">
        <v>6</v>
      </c>
      <c r="I34" s="10" t="n">
        <v>9.2</v>
      </c>
      <c r="J34" s="10" t="s">
        <v>302</v>
      </c>
    </row>
    <row r="35" customFormat="false" ht="15" hidden="false" customHeight="false" outlineLevel="0" collapsed="false">
      <c r="A35" s="11" t="n">
        <v>34</v>
      </c>
      <c r="B35" s="15" t="n">
        <v>45793</v>
      </c>
      <c r="C35" s="11" t="n">
        <v>1</v>
      </c>
      <c r="D35" s="11" t="n">
        <v>7.2</v>
      </c>
      <c r="E35" s="11" t="n">
        <v>6</v>
      </c>
      <c r="F35" s="11" t="n">
        <v>9</v>
      </c>
      <c r="G35" s="11" t="n">
        <v>10</v>
      </c>
      <c r="H35" s="11" t="n">
        <v>5</v>
      </c>
      <c r="I35" s="11" t="n">
        <v>8.4</v>
      </c>
      <c r="J35" s="11" t="s">
        <v>302</v>
      </c>
    </row>
    <row r="36" customFormat="false" ht="15" hidden="false" customHeight="false" outlineLevel="0" collapsed="false">
      <c r="A36" s="10" t="n">
        <v>35</v>
      </c>
      <c r="B36" s="14" t="n">
        <v>45756</v>
      </c>
      <c r="C36" s="10" t="n">
        <v>1</v>
      </c>
      <c r="D36" s="10" t="n">
        <v>13.3</v>
      </c>
      <c r="E36" s="10" t="n">
        <v>6</v>
      </c>
      <c r="F36" s="10" t="n">
        <v>9</v>
      </c>
      <c r="G36" s="10" t="n">
        <v>9</v>
      </c>
      <c r="H36" s="10" t="n">
        <v>5</v>
      </c>
      <c r="I36" s="10" t="n">
        <v>5.7</v>
      </c>
      <c r="J36" s="10" t="s">
        <v>337</v>
      </c>
    </row>
    <row r="37" customFormat="false" ht="15" hidden="false" customHeight="false" outlineLevel="0" collapsed="false">
      <c r="A37" s="11" t="n">
        <v>36</v>
      </c>
      <c r="B37" s="15" t="n">
        <v>45892</v>
      </c>
      <c r="C37" s="11" t="n">
        <v>1</v>
      </c>
      <c r="D37" s="11" t="n">
        <v>5.9</v>
      </c>
      <c r="E37" s="11" t="n">
        <v>6</v>
      </c>
      <c r="F37" s="11" t="n">
        <v>5</v>
      </c>
      <c r="G37" s="11" t="n">
        <v>10</v>
      </c>
      <c r="H37" s="11" t="n">
        <v>9</v>
      </c>
      <c r="I37" s="11" t="n">
        <v>8.1</v>
      </c>
      <c r="J37" s="11" t="s">
        <v>302</v>
      </c>
    </row>
    <row r="38" customFormat="false" ht="15" hidden="false" customHeight="false" outlineLevel="0" collapsed="false">
      <c r="A38" s="10" t="n">
        <v>37</v>
      </c>
      <c r="B38" s="14" t="n">
        <v>45966</v>
      </c>
      <c r="C38" s="10" t="n">
        <v>2</v>
      </c>
      <c r="D38" s="10" t="n">
        <v>9.2</v>
      </c>
      <c r="E38" s="10" t="n">
        <v>7</v>
      </c>
      <c r="F38" s="10" t="n">
        <v>5</v>
      </c>
      <c r="G38" s="10" t="n">
        <v>7</v>
      </c>
      <c r="H38" s="10" t="n">
        <v>7</v>
      </c>
      <c r="I38" s="10" t="n">
        <v>7.8</v>
      </c>
      <c r="J38" s="10" t="s">
        <v>302</v>
      </c>
    </row>
    <row r="39" customFormat="false" ht="15" hidden="false" customHeight="false" outlineLevel="0" collapsed="false">
      <c r="A39" s="11" t="n">
        <v>38</v>
      </c>
      <c r="B39" s="15" t="n">
        <v>45677</v>
      </c>
      <c r="C39" s="11" t="n">
        <v>2</v>
      </c>
      <c r="D39" s="11" t="n">
        <v>7.8</v>
      </c>
      <c r="E39" s="11" t="n">
        <v>8</v>
      </c>
      <c r="F39" s="11" t="n">
        <v>8</v>
      </c>
      <c r="G39" s="11" t="n">
        <v>8</v>
      </c>
      <c r="H39" s="11" t="n">
        <v>9</v>
      </c>
      <c r="I39" s="11" t="n">
        <v>9.8</v>
      </c>
      <c r="J39" s="11" t="s">
        <v>302</v>
      </c>
    </row>
    <row r="40" customFormat="false" ht="15" hidden="false" customHeight="false" outlineLevel="0" collapsed="false">
      <c r="A40" s="10" t="n">
        <v>39</v>
      </c>
      <c r="B40" s="14" t="n">
        <v>45969</v>
      </c>
      <c r="C40" s="10" t="n">
        <v>2</v>
      </c>
      <c r="D40" s="10" t="n">
        <v>5.2</v>
      </c>
      <c r="E40" s="10" t="n">
        <v>9</v>
      </c>
      <c r="F40" s="10" t="n">
        <v>7</v>
      </c>
      <c r="G40" s="10" t="n">
        <v>6</v>
      </c>
      <c r="H40" s="10" t="n">
        <v>6</v>
      </c>
      <c r="I40" s="10" t="n">
        <v>10</v>
      </c>
      <c r="J40" s="10" t="s">
        <v>302</v>
      </c>
    </row>
    <row r="41" customFormat="false" ht="15" hidden="false" customHeight="false" outlineLevel="0" collapsed="false">
      <c r="A41" s="11" t="n">
        <v>40</v>
      </c>
      <c r="B41" s="15" t="n">
        <v>45697</v>
      </c>
      <c r="C41" s="11" t="n">
        <v>3</v>
      </c>
      <c r="D41" s="11" t="n">
        <v>6.5</v>
      </c>
      <c r="E41" s="11" t="n">
        <v>8</v>
      </c>
      <c r="F41" s="11" t="n">
        <v>5</v>
      </c>
      <c r="G41" s="11" t="n">
        <v>8</v>
      </c>
      <c r="H41" s="11" t="n">
        <v>4</v>
      </c>
      <c r="I41" s="11" t="n">
        <v>8.6</v>
      </c>
      <c r="J41" s="11" t="s">
        <v>302</v>
      </c>
    </row>
    <row r="42" customFormat="false" ht="15" hidden="false" customHeight="false" outlineLevel="0" collapsed="false">
      <c r="A42" s="10" t="n">
        <v>41</v>
      </c>
      <c r="B42" s="14" t="n">
        <v>45718</v>
      </c>
      <c r="C42" s="10" t="n">
        <v>1</v>
      </c>
      <c r="D42" s="10" t="n">
        <v>11.7</v>
      </c>
      <c r="E42" s="10" t="n">
        <v>6</v>
      </c>
      <c r="F42" s="10" t="n">
        <v>6</v>
      </c>
      <c r="G42" s="10" t="n">
        <v>9</v>
      </c>
      <c r="H42" s="10" t="n">
        <v>6</v>
      </c>
      <c r="I42" s="10" t="n">
        <v>7.2</v>
      </c>
      <c r="J42" s="10" t="s">
        <v>337</v>
      </c>
    </row>
    <row r="43" customFormat="false" ht="15" hidden="false" customHeight="false" outlineLevel="0" collapsed="false">
      <c r="A43" s="11" t="n">
        <v>42</v>
      </c>
      <c r="B43" s="15" t="n">
        <v>45934</v>
      </c>
      <c r="C43" s="11" t="n">
        <v>4</v>
      </c>
      <c r="D43" s="11" t="n">
        <v>9.9</v>
      </c>
      <c r="E43" s="11" t="n">
        <v>7</v>
      </c>
      <c r="F43" s="11" t="n">
        <v>6</v>
      </c>
      <c r="G43" s="11" t="n">
        <v>8</v>
      </c>
      <c r="H43" s="11" t="n">
        <v>4</v>
      </c>
      <c r="I43" s="11" t="n">
        <v>8.5</v>
      </c>
      <c r="J43" s="11" t="s">
        <v>302</v>
      </c>
    </row>
    <row r="44" customFormat="false" ht="15" hidden="false" customHeight="false" outlineLevel="0" collapsed="false">
      <c r="A44" s="10" t="n">
        <v>43</v>
      </c>
      <c r="B44" s="14" t="n">
        <v>45710</v>
      </c>
      <c r="C44" s="10" t="n">
        <v>1</v>
      </c>
      <c r="D44" s="10" t="n">
        <v>4.9</v>
      </c>
      <c r="E44" s="10" t="n">
        <v>6</v>
      </c>
      <c r="F44" s="10" t="n">
        <v>6</v>
      </c>
      <c r="G44" s="10" t="n">
        <v>8</v>
      </c>
      <c r="H44" s="10" t="n">
        <v>9</v>
      </c>
      <c r="I44" s="10" t="n">
        <v>8</v>
      </c>
      <c r="J44" s="10" t="s">
        <v>302</v>
      </c>
    </row>
    <row r="45" customFormat="false" ht="15" hidden="false" customHeight="false" outlineLevel="0" collapsed="false">
      <c r="A45" s="11" t="n">
        <v>44</v>
      </c>
      <c r="B45" s="15" t="n">
        <v>45832</v>
      </c>
      <c r="C45" s="11" t="n">
        <v>5</v>
      </c>
      <c r="D45" s="11" t="n">
        <v>4.2</v>
      </c>
      <c r="E45" s="11" t="n">
        <v>10</v>
      </c>
      <c r="F45" s="11" t="n">
        <v>6</v>
      </c>
      <c r="G45" s="11" t="n">
        <v>7</v>
      </c>
      <c r="H45" s="11" t="n">
        <v>8</v>
      </c>
      <c r="I45" s="11" t="n">
        <v>10</v>
      </c>
      <c r="J45" s="11" t="s">
        <v>302</v>
      </c>
    </row>
    <row r="46" customFormat="false" ht="15" hidden="false" customHeight="false" outlineLevel="0" collapsed="false">
      <c r="A46" s="10" t="n">
        <v>45</v>
      </c>
      <c r="B46" s="14" t="n">
        <v>45841</v>
      </c>
      <c r="C46" s="10" t="n">
        <v>1</v>
      </c>
      <c r="D46" s="10" t="n">
        <v>10.4</v>
      </c>
      <c r="E46" s="10" t="n">
        <v>5</v>
      </c>
      <c r="F46" s="10" t="n">
        <v>4</v>
      </c>
      <c r="G46" s="10" t="n">
        <v>10</v>
      </c>
      <c r="H46" s="10" t="n">
        <v>9</v>
      </c>
      <c r="I46" s="10" t="n">
        <v>7.6</v>
      </c>
      <c r="J46" s="10" t="s">
        <v>302</v>
      </c>
    </row>
    <row r="47" customFormat="false" ht="15" hidden="false" customHeight="false" outlineLevel="0" collapsed="false">
      <c r="A47" s="11" t="n">
        <v>46</v>
      </c>
      <c r="B47" s="15" t="n">
        <v>45754</v>
      </c>
      <c r="C47" s="11" t="n">
        <v>4</v>
      </c>
      <c r="D47" s="11" t="n">
        <v>8.1</v>
      </c>
      <c r="E47" s="11" t="n">
        <v>9</v>
      </c>
      <c r="F47" s="11" t="n">
        <v>8</v>
      </c>
      <c r="G47" s="11" t="n">
        <v>8</v>
      </c>
      <c r="H47" s="11" t="n">
        <v>6</v>
      </c>
      <c r="I47" s="11" t="n">
        <v>9.3</v>
      </c>
      <c r="J47" s="11" t="s">
        <v>302</v>
      </c>
    </row>
    <row r="48" customFormat="false" ht="15" hidden="false" customHeight="false" outlineLevel="0" collapsed="false">
      <c r="A48" s="10" t="n">
        <v>47</v>
      </c>
      <c r="B48" s="14" t="n">
        <v>46007</v>
      </c>
      <c r="C48" s="10" t="n">
        <v>2</v>
      </c>
      <c r="D48" s="10" t="n">
        <v>5.3</v>
      </c>
      <c r="E48" s="10" t="n">
        <v>6</v>
      </c>
      <c r="F48" s="10" t="n">
        <v>5</v>
      </c>
      <c r="G48" s="10" t="n">
        <v>9</v>
      </c>
      <c r="H48" s="10" t="n">
        <v>8</v>
      </c>
      <c r="I48" s="10" t="n">
        <v>8.4</v>
      </c>
      <c r="J48" s="10" t="s">
        <v>302</v>
      </c>
    </row>
    <row r="49" customFormat="false" ht="15" hidden="false" customHeight="false" outlineLevel="0" collapsed="false">
      <c r="A49" s="11" t="n">
        <v>48</v>
      </c>
      <c r="B49" s="15" t="n">
        <v>46000</v>
      </c>
      <c r="C49" s="11" t="n">
        <v>5</v>
      </c>
      <c r="D49" s="11" t="n">
        <v>13.3</v>
      </c>
      <c r="E49" s="11" t="n">
        <v>8</v>
      </c>
      <c r="F49" s="11" t="n">
        <v>9</v>
      </c>
      <c r="G49" s="11" t="n">
        <v>6</v>
      </c>
      <c r="H49" s="11" t="n">
        <v>7</v>
      </c>
      <c r="I49" s="11" t="n">
        <v>7.7</v>
      </c>
      <c r="J49" s="11" t="s">
        <v>302</v>
      </c>
    </row>
    <row r="50" customFormat="false" ht="15" hidden="false" customHeight="false" outlineLevel="0" collapsed="false">
      <c r="A50" s="10" t="n">
        <v>49</v>
      </c>
      <c r="B50" s="14" t="n">
        <v>45704</v>
      </c>
      <c r="C50" s="10" t="n">
        <v>4</v>
      </c>
      <c r="D50" s="10" t="n">
        <v>1</v>
      </c>
      <c r="E50" s="10" t="n">
        <v>5</v>
      </c>
      <c r="F50" s="10" t="n">
        <v>5</v>
      </c>
      <c r="G50" s="10" t="n">
        <v>10</v>
      </c>
      <c r="H50" s="10" t="n">
        <v>6</v>
      </c>
      <c r="I50" s="10" t="n">
        <v>8.7</v>
      </c>
      <c r="J50" s="10" t="s">
        <v>302</v>
      </c>
    </row>
    <row r="51" customFormat="false" ht="15" hidden="false" customHeight="false" outlineLevel="0" collapsed="false">
      <c r="A51" s="11" t="n">
        <v>50</v>
      </c>
      <c r="B51" s="15" t="n">
        <v>45996</v>
      </c>
      <c r="C51" s="11" t="n">
        <v>3</v>
      </c>
      <c r="D51" s="11" t="n">
        <v>10.7</v>
      </c>
      <c r="E51" s="11" t="n">
        <v>10</v>
      </c>
      <c r="F51" s="11" t="n">
        <v>5</v>
      </c>
      <c r="G51" s="11" t="n">
        <v>9</v>
      </c>
      <c r="H51" s="11" t="n">
        <v>7</v>
      </c>
      <c r="I51" s="11" t="n">
        <v>8.9</v>
      </c>
      <c r="J51" s="11" t="s">
        <v>302</v>
      </c>
    </row>
    <row r="52" customFormat="false" ht="15" hidden="false" customHeight="false" outlineLevel="0" collapsed="false">
      <c r="A52" s="10" t="n">
        <v>51</v>
      </c>
      <c r="B52" s="14" t="n">
        <v>45979</v>
      </c>
      <c r="C52" s="10" t="n">
        <v>5</v>
      </c>
      <c r="D52" s="10" t="n">
        <v>8.8</v>
      </c>
      <c r="E52" s="10" t="n">
        <v>9</v>
      </c>
      <c r="F52" s="10" t="n">
        <v>7</v>
      </c>
      <c r="G52" s="10" t="n">
        <v>10</v>
      </c>
      <c r="H52" s="10" t="n">
        <v>7</v>
      </c>
      <c r="I52" s="10" t="n">
        <v>9.5</v>
      </c>
      <c r="J52" s="10" t="s">
        <v>302</v>
      </c>
    </row>
    <row r="53" customFormat="false" ht="15" hidden="false" customHeight="false" outlineLevel="0" collapsed="false">
      <c r="A53" s="11" t="n">
        <v>52</v>
      </c>
      <c r="B53" s="15" t="n">
        <v>45858</v>
      </c>
      <c r="C53" s="11" t="n">
        <v>3</v>
      </c>
      <c r="D53" s="11" t="n">
        <v>7.1</v>
      </c>
      <c r="E53" s="11" t="n">
        <v>9</v>
      </c>
      <c r="F53" s="11" t="n">
        <v>5</v>
      </c>
      <c r="G53" s="11" t="n">
        <v>10</v>
      </c>
      <c r="H53" s="11" t="n">
        <v>9</v>
      </c>
      <c r="I53" s="11" t="n">
        <v>9.8</v>
      </c>
      <c r="J53" s="11" t="s">
        <v>302</v>
      </c>
    </row>
    <row r="54" customFormat="false" ht="15" hidden="false" customHeight="false" outlineLevel="0" collapsed="false">
      <c r="A54" s="10" t="n">
        <v>53</v>
      </c>
      <c r="B54" s="14" t="n">
        <v>45683</v>
      </c>
      <c r="C54" s="10" t="n">
        <v>5</v>
      </c>
      <c r="D54" s="10" t="n">
        <v>2.5</v>
      </c>
      <c r="E54" s="10" t="n">
        <v>9</v>
      </c>
      <c r="F54" s="10" t="n">
        <v>6</v>
      </c>
      <c r="G54" s="10" t="n">
        <v>8</v>
      </c>
      <c r="H54" s="10" t="n">
        <v>5</v>
      </c>
      <c r="I54" s="10" t="n">
        <v>10</v>
      </c>
      <c r="J54" s="10" t="s">
        <v>302</v>
      </c>
    </row>
    <row r="55" customFormat="false" ht="15" hidden="false" customHeight="false" outlineLevel="0" collapsed="false">
      <c r="A55" s="11" t="n">
        <v>54</v>
      </c>
      <c r="B55" s="15" t="n">
        <v>45800</v>
      </c>
      <c r="C55" s="11" t="n">
        <v>3</v>
      </c>
      <c r="D55" s="11" t="n">
        <v>5.3</v>
      </c>
      <c r="E55" s="11" t="n">
        <v>5</v>
      </c>
      <c r="F55" s="11" t="n">
        <v>8</v>
      </c>
      <c r="G55" s="11" t="n">
        <v>7</v>
      </c>
      <c r="H55" s="11" t="n">
        <v>6</v>
      </c>
      <c r="I55" s="11" t="n">
        <v>8.2</v>
      </c>
      <c r="J55" s="11" t="s">
        <v>302</v>
      </c>
    </row>
    <row r="56" customFormat="false" ht="15" hidden="false" customHeight="false" outlineLevel="0" collapsed="false">
      <c r="A56" s="10" t="n">
        <v>55</v>
      </c>
      <c r="B56" s="14" t="n">
        <v>45678</v>
      </c>
      <c r="C56" s="10" t="n">
        <v>2</v>
      </c>
      <c r="D56" s="10" t="n">
        <v>9.3</v>
      </c>
      <c r="E56" s="10" t="n">
        <v>6</v>
      </c>
      <c r="F56" s="10" t="n">
        <v>6</v>
      </c>
      <c r="G56" s="10" t="n">
        <v>6</v>
      </c>
      <c r="H56" s="10" t="n">
        <v>9</v>
      </c>
      <c r="I56" s="10" t="n">
        <v>7.3</v>
      </c>
      <c r="J56" s="10" t="s">
        <v>337</v>
      </c>
    </row>
    <row r="57" customFormat="false" ht="15" hidden="false" customHeight="false" outlineLevel="0" collapsed="false">
      <c r="A57" s="11" t="n">
        <v>56</v>
      </c>
      <c r="B57" s="15" t="n">
        <v>45774</v>
      </c>
      <c r="C57" s="11" t="n">
        <v>2</v>
      </c>
      <c r="D57" s="11" t="n">
        <v>6.8</v>
      </c>
      <c r="E57" s="11" t="n">
        <v>7</v>
      </c>
      <c r="F57" s="11" t="n">
        <v>9</v>
      </c>
      <c r="G57" s="11" t="n">
        <v>10</v>
      </c>
      <c r="H57" s="11" t="n">
        <v>6</v>
      </c>
      <c r="I57" s="11" t="n">
        <v>9.6</v>
      </c>
      <c r="J57" s="11" t="s">
        <v>302</v>
      </c>
    </row>
    <row r="58" customFormat="false" ht="15" hidden="false" customHeight="false" outlineLevel="0" collapsed="false">
      <c r="A58" s="10" t="n">
        <v>57</v>
      </c>
      <c r="B58" s="14" t="n">
        <v>45811</v>
      </c>
      <c r="C58" s="10" t="n">
        <v>5</v>
      </c>
      <c r="D58" s="10" t="n">
        <v>6.9</v>
      </c>
      <c r="E58" s="10" t="n">
        <v>9</v>
      </c>
      <c r="F58" s="10" t="n">
        <v>6</v>
      </c>
      <c r="G58" s="10" t="n">
        <v>8</v>
      </c>
      <c r="H58" s="10" t="n">
        <v>4</v>
      </c>
      <c r="I58" s="10" t="n">
        <v>9</v>
      </c>
      <c r="J58" s="10" t="s">
        <v>302</v>
      </c>
    </row>
    <row r="59" customFormat="false" ht="15" hidden="false" customHeight="false" outlineLevel="0" collapsed="false">
      <c r="A59" s="11" t="n">
        <v>58</v>
      </c>
      <c r="B59" s="15" t="n">
        <v>45988</v>
      </c>
      <c r="C59" s="11" t="n">
        <v>1</v>
      </c>
      <c r="D59" s="11" t="n">
        <v>7.9</v>
      </c>
      <c r="E59" s="11" t="n">
        <v>7</v>
      </c>
      <c r="F59" s="11" t="n">
        <v>5</v>
      </c>
      <c r="G59" s="11" t="n">
        <v>8</v>
      </c>
      <c r="H59" s="11" t="n">
        <v>4</v>
      </c>
      <c r="I59" s="11" t="n">
        <v>6.9</v>
      </c>
      <c r="J59" s="11" t="s">
        <v>337</v>
      </c>
    </row>
    <row r="60" customFormat="false" ht="15" hidden="false" customHeight="false" outlineLevel="0" collapsed="false">
      <c r="A60" s="10" t="n">
        <v>59</v>
      </c>
      <c r="B60" s="14" t="n">
        <v>45922</v>
      </c>
      <c r="C60" s="10" t="n">
        <v>5</v>
      </c>
      <c r="D60" s="10" t="n">
        <v>10.9</v>
      </c>
      <c r="E60" s="10" t="n">
        <v>8</v>
      </c>
      <c r="F60" s="10" t="n">
        <v>9</v>
      </c>
      <c r="G60" s="10" t="n">
        <v>8</v>
      </c>
      <c r="H60" s="10" t="n">
        <v>9</v>
      </c>
      <c r="I60" s="10" t="n">
        <v>9.9</v>
      </c>
      <c r="J60" s="10" t="s">
        <v>302</v>
      </c>
    </row>
    <row r="61" customFormat="false" ht="15" hidden="false" customHeight="false" outlineLevel="0" collapsed="false">
      <c r="A61" s="11" t="n">
        <v>60</v>
      </c>
      <c r="B61" s="15" t="n">
        <v>45981</v>
      </c>
      <c r="C61" s="11" t="n">
        <v>5</v>
      </c>
      <c r="D61" s="11" t="n">
        <v>7.9</v>
      </c>
      <c r="E61" s="11" t="n">
        <v>7</v>
      </c>
      <c r="F61" s="11" t="n">
        <v>6</v>
      </c>
      <c r="G61" s="11" t="n">
        <v>7</v>
      </c>
      <c r="H61" s="11" t="n">
        <v>8</v>
      </c>
      <c r="I61" s="11" t="n">
        <v>8.9</v>
      </c>
      <c r="J61" s="11" t="s">
        <v>302</v>
      </c>
    </row>
    <row r="62" customFormat="false" ht="15" hidden="false" customHeight="false" outlineLevel="0" collapsed="false">
      <c r="A62" s="10" t="n">
        <v>61</v>
      </c>
      <c r="B62" s="14" t="n">
        <v>45987</v>
      </c>
      <c r="C62" s="10" t="n">
        <v>4</v>
      </c>
      <c r="D62" s="10" t="n">
        <v>8.2</v>
      </c>
      <c r="E62" s="10" t="n">
        <v>10</v>
      </c>
      <c r="F62" s="10" t="n">
        <v>7</v>
      </c>
      <c r="G62" s="10" t="n">
        <v>8</v>
      </c>
      <c r="H62" s="10" t="n">
        <v>5</v>
      </c>
      <c r="I62" s="10" t="n">
        <v>9.7</v>
      </c>
      <c r="J62" s="10" t="s">
        <v>302</v>
      </c>
    </row>
    <row r="63" customFormat="false" ht="15" hidden="false" customHeight="false" outlineLevel="0" collapsed="false">
      <c r="A63" s="11" t="n">
        <v>62</v>
      </c>
      <c r="B63" s="15" t="n">
        <v>45872</v>
      </c>
      <c r="C63" s="11" t="n">
        <v>4</v>
      </c>
      <c r="D63" s="11" t="n">
        <v>7.8</v>
      </c>
      <c r="E63" s="11" t="n">
        <v>6</v>
      </c>
      <c r="F63" s="11" t="n">
        <v>5</v>
      </c>
      <c r="G63" s="11" t="n">
        <v>10</v>
      </c>
      <c r="H63" s="11" t="n">
        <v>7</v>
      </c>
      <c r="I63" s="11" t="n">
        <v>8.2</v>
      </c>
      <c r="J63" s="11" t="s">
        <v>302</v>
      </c>
    </row>
    <row r="64" customFormat="false" ht="15" hidden="false" customHeight="false" outlineLevel="0" collapsed="false">
      <c r="A64" s="10" t="n">
        <v>63</v>
      </c>
      <c r="B64" s="14" t="n">
        <v>45997</v>
      </c>
      <c r="C64" s="10" t="n">
        <v>3</v>
      </c>
      <c r="D64" s="10" t="n">
        <v>8.8</v>
      </c>
      <c r="E64" s="10" t="n">
        <v>6</v>
      </c>
      <c r="F64" s="10" t="n">
        <v>10</v>
      </c>
      <c r="G64" s="10" t="n">
        <v>9</v>
      </c>
      <c r="H64" s="10" t="n">
        <v>9</v>
      </c>
      <c r="I64" s="10" t="n">
        <v>9.5</v>
      </c>
      <c r="J64" s="10" t="s">
        <v>302</v>
      </c>
    </row>
    <row r="65" customFormat="false" ht="15" hidden="false" customHeight="false" outlineLevel="0" collapsed="false">
      <c r="A65" s="11" t="n">
        <v>64</v>
      </c>
      <c r="B65" s="15" t="n">
        <v>45937</v>
      </c>
      <c r="C65" s="11" t="n">
        <v>1</v>
      </c>
      <c r="D65" s="11" t="n">
        <v>9</v>
      </c>
      <c r="E65" s="11" t="n">
        <v>8</v>
      </c>
      <c r="F65" s="11" t="n">
        <v>9</v>
      </c>
      <c r="G65" s="11" t="n">
        <v>9</v>
      </c>
      <c r="H65" s="11" t="n">
        <v>4</v>
      </c>
      <c r="I65" s="11" t="n">
        <v>9.4</v>
      </c>
      <c r="J65" s="11" t="s">
        <v>302</v>
      </c>
    </row>
    <row r="66" customFormat="false" ht="15" hidden="false" customHeight="false" outlineLevel="0" collapsed="false">
      <c r="A66" s="10" t="n">
        <v>65</v>
      </c>
      <c r="B66" s="14" t="n">
        <v>46008</v>
      </c>
      <c r="C66" s="10" t="n">
        <v>2</v>
      </c>
      <c r="D66" s="10" t="n">
        <v>6.2</v>
      </c>
      <c r="E66" s="10" t="n">
        <v>9</v>
      </c>
      <c r="F66" s="10" t="n">
        <v>4</v>
      </c>
      <c r="G66" s="10" t="n">
        <v>9</v>
      </c>
      <c r="H66" s="10" t="n">
        <v>7</v>
      </c>
      <c r="I66" s="10" t="n">
        <v>8</v>
      </c>
      <c r="J66" s="10" t="s">
        <v>302</v>
      </c>
    </row>
    <row r="67" customFormat="false" ht="15" hidden="false" customHeight="false" outlineLevel="0" collapsed="false">
      <c r="A67" s="11" t="n">
        <v>66</v>
      </c>
      <c r="B67" s="15" t="n">
        <v>45661</v>
      </c>
      <c r="C67" s="11" t="n">
        <v>1</v>
      </c>
      <c r="D67" s="11" t="n">
        <v>7.4</v>
      </c>
      <c r="E67" s="11" t="n">
        <v>5</v>
      </c>
      <c r="F67" s="11" t="n">
        <v>5</v>
      </c>
      <c r="G67" s="11" t="n">
        <v>7</v>
      </c>
      <c r="H67" s="11" t="n">
        <v>4</v>
      </c>
      <c r="I67" s="11" t="n">
        <v>5.6</v>
      </c>
      <c r="J67" s="11" t="s">
        <v>337</v>
      </c>
    </row>
    <row r="68" customFormat="false" ht="15" hidden="false" customHeight="false" outlineLevel="0" collapsed="false">
      <c r="A68" s="10" t="n">
        <v>67</v>
      </c>
      <c r="B68" s="14" t="n">
        <v>45782</v>
      </c>
      <c r="C68" s="10" t="n">
        <v>5</v>
      </c>
      <c r="D68" s="10" t="n">
        <v>14.8</v>
      </c>
      <c r="E68" s="10" t="n">
        <v>5</v>
      </c>
      <c r="F68" s="10" t="n">
        <v>8</v>
      </c>
      <c r="G68" s="10" t="n">
        <v>8</v>
      </c>
      <c r="H68" s="10" t="n">
        <v>9</v>
      </c>
      <c r="I68" s="10" t="n">
        <v>6.8</v>
      </c>
      <c r="J68" s="10" t="s">
        <v>337</v>
      </c>
    </row>
    <row r="69" customFormat="false" ht="15" hidden="false" customHeight="false" outlineLevel="0" collapsed="false">
      <c r="A69" s="11" t="n">
        <v>68</v>
      </c>
      <c r="B69" s="15" t="n">
        <v>45695</v>
      </c>
      <c r="C69" s="11" t="n">
        <v>2</v>
      </c>
      <c r="D69" s="11" t="n">
        <v>3.2</v>
      </c>
      <c r="E69" s="11" t="n">
        <v>8</v>
      </c>
      <c r="F69" s="11" t="n">
        <v>10</v>
      </c>
      <c r="G69" s="11" t="n">
        <v>7</v>
      </c>
      <c r="H69" s="11" t="n">
        <v>6</v>
      </c>
      <c r="I69" s="11" t="n">
        <v>10</v>
      </c>
      <c r="J69" s="11" t="s">
        <v>302</v>
      </c>
    </row>
    <row r="70" customFormat="false" ht="15" hidden="false" customHeight="false" outlineLevel="0" collapsed="false">
      <c r="A70" s="10" t="n">
        <v>69</v>
      </c>
      <c r="B70" s="14" t="n">
        <v>45824</v>
      </c>
      <c r="C70" s="10" t="n">
        <v>2</v>
      </c>
      <c r="D70" s="10" t="n">
        <v>7.1</v>
      </c>
      <c r="E70" s="10" t="n">
        <v>7</v>
      </c>
      <c r="F70" s="10" t="n">
        <v>9</v>
      </c>
      <c r="G70" s="10" t="n">
        <v>10</v>
      </c>
      <c r="H70" s="10" t="n">
        <v>4</v>
      </c>
      <c r="I70" s="10" t="n">
        <v>9.9</v>
      </c>
      <c r="J70" s="10" t="s">
        <v>302</v>
      </c>
    </row>
    <row r="71" customFormat="false" ht="15" hidden="false" customHeight="false" outlineLevel="0" collapsed="false">
      <c r="A71" s="11" t="n">
        <v>70</v>
      </c>
      <c r="B71" s="15" t="n">
        <v>45684</v>
      </c>
      <c r="C71" s="11" t="n">
        <v>1</v>
      </c>
      <c r="D71" s="11" t="n">
        <v>9</v>
      </c>
      <c r="E71" s="11" t="n">
        <v>9</v>
      </c>
      <c r="F71" s="11" t="n">
        <v>10</v>
      </c>
      <c r="G71" s="11" t="n">
        <v>9</v>
      </c>
      <c r="H71" s="11" t="n">
        <v>5</v>
      </c>
      <c r="I71" s="11" t="n">
        <v>10</v>
      </c>
      <c r="J71" s="11" t="s">
        <v>302</v>
      </c>
    </row>
    <row r="72" customFormat="false" ht="15" hidden="false" customHeight="false" outlineLevel="0" collapsed="false">
      <c r="A72" s="10" t="n">
        <v>71</v>
      </c>
      <c r="B72" s="14" t="n">
        <v>45665</v>
      </c>
      <c r="C72" s="10" t="n">
        <v>1</v>
      </c>
      <c r="D72" s="10" t="n">
        <v>7.4</v>
      </c>
      <c r="E72" s="10" t="n">
        <v>7</v>
      </c>
      <c r="F72" s="10" t="n">
        <v>9</v>
      </c>
      <c r="G72" s="10" t="n">
        <v>8</v>
      </c>
      <c r="H72" s="10" t="n">
        <v>5</v>
      </c>
      <c r="I72" s="10" t="n">
        <v>9.5</v>
      </c>
      <c r="J72" s="10" t="s">
        <v>302</v>
      </c>
    </row>
    <row r="73" customFormat="false" ht="15" hidden="false" customHeight="false" outlineLevel="0" collapsed="false">
      <c r="A73" s="11" t="n">
        <v>72</v>
      </c>
      <c r="B73" s="15" t="n">
        <v>45974</v>
      </c>
      <c r="C73" s="11" t="n">
        <v>1</v>
      </c>
      <c r="D73" s="11" t="n">
        <v>1</v>
      </c>
      <c r="E73" s="11" t="n">
        <v>6</v>
      </c>
      <c r="F73" s="11" t="n">
        <v>4</v>
      </c>
      <c r="G73" s="11" t="n">
        <v>8</v>
      </c>
      <c r="H73" s="11" t="n">
        <v>6</v>
      </c>
      <c r="I73" s="11" t="n">
        <v>8.8</v>
      </c>
      <c r="J73" s="11" t="s">
        <v>302</v>
      </c>
    </row>
    <row r="74" customFormat="false" ht="15" hidden="false" customHeight="false" outlineLevel="0" collapsed="false">
      <c r="A74" s="10" t="n">
        <v>73</v>
      </c>
      <c r="B74" s="14" t="n">
        <v>45708</v>
      </c>
      <c r="C74" s="10" t="n">
        <v>3</v>
      </c>
      <c r="D74" s="10" t="n">
        <v>12</v>
      </c>
      <c r="E74" s="10" t="n">
        <v>5</v>
      </c>
      <c r="F74" s="10" t="n">
        <v>4</v>
      </c>
      <c r="G74" s="10" t="n">
        <v>10</v>
      </c>
      <c r="H74" s="10" t="n">
        <v>5</v>
      </c>
      <c r="I74" s="10" t="n">
        <v>6.6</v>
      </c>
      <c r="J74" s="10" t="s">
        <v>337</v>
      </c>
    </row>
    <row r="75" customFormat="false" ht="15" hidden="false" customHeight="false" outlineLevel="0" collapsed="false">
      <c r="A75" s="11" t="n">
        <v>74</v>
      </c>
      <c r="B75" s="15" t="n">
        <v>45730</v>
      </c>
      <c r="C75" s="11" t="n">
        <v>5</v>
      </c>
      <c r="D75" s="11" t="n">
        <v>6</v>
      </c>
      <c r="E75" s="11" t="n">
        <v>8</v>
      </c>
      <c r="F75" s="11" t="n">
        <v>5</v>
      </c>
      <c r="G75" s="11" t="n">
        <v>8</v>
      </c>
      <c r="H75" s="11" t="n">
        <v>8</v>
      </c>
      <c r="I75" s="11" t="n">
        <v>9.3</v>
      </c>
      <c r="J75" s="11" t="s">
        <v>302</v>
      </c>
    </row>
    <row r="76" customFormat="false" ht="15" hidden="false" customHeight="false" outlineLevel="0" collapsed="false">
      <c r="A76" s="10" t="n">
        <v>75</v>
      </c>
      <c r="B76" s="14" t="n">
        <v>45789</v>
      </c>
      <c r="C76" s="10" t="n">
        <v>1</v>
      </c>
      <c r="D76" s="10" t="n">
        <v>6.5</v>
      </c>
      <c r="E76" s="10" t="n">
        <v>7</v>
      </c>
      <c r="F76" s="10" t="n">
        <v>6</v>
      </c>
      <c r="G76" s="10" t="n">
        <v>6</v>
      </c>
      <c r="H76" s="10" t="n">
        <v>4</v>
      </c>
      <c r="I76" s="10" t="n">
        <v>8.3</v>
      </c>
      <c r="J76" s="10" t="s">
        <v>302</v>
      </c>
    </row>
    <row r="77" customFormat="false" ht="15" hidden="false" customHeight="false" outlineLevel="0" collapsed="false">
      <c r="A77" s="11" t="n">
        <v>76</v>
      </c>
      <c r="B77" s="15" t="n">
        <v>45741</v>
      </c>
      <c r="C77" s="11" t="n">
        <v>2</v>
      </c>
      <c r="D77" s="11" t="n">
        <v>5.7</v>
      </c>
      <c r="E77" s="11" t="n">
        <v>10</v>
      </c>
      <c r="F77" s="11" t="n">
        <v>10</v>
      </c>
      <c r="G77" s="11" t="n">
        <v>9</v>
      </c>
      <c r="H77" s="11" t="n">
        <v>4</v>
      </c>
      <c r="I77" s="11" t="n">
        <v>10</v>
      </c>
      <c r="J77" s="11" t="s">
        <v>302</v>
      </c>
    </row>
    <row r="78" customFormat="false" ht="15" hidden="false" customHeight="false" outlineLevel="0" collapsed="false">
      <c r="A78" s="10" t="n">
        <v>77</v>
      </c>
      <c r="B78" s="14" t="n">
        <v>45707</v>
      </c>
      <c r="C78" s="10" t="n">
        <v>4</v>
      </c>
      <c r="D78" s="10" t="n">
        <v>9.3</v>
      </c>
      <c r="E78" s="10" t="n">
        <v>5</v>
      </c>
      <c r="F78" s="10" t="n">
        <v>6</v>
      </c>
      <c r="G78" s="10" t="n">
        <v>7</v>
      </c>
      <c r="H78" s="10" t="n">
        <v>5</v>
      </c>
      <c r="I78" s="10" t="n">
        <v>6.3</v>
      </c>
      <c r="J78" s="10" t="s">
        <v>337</v>
      </c>
    </row>
    <row r="79" customFormat="false" ht="15" hidden="false" customHeight="false" outlineLevel="0" collapsed="false">
      <c r="A79" s="11" t="n">
        <v>78</v>
      </c>
      <c r="B79" s="15" t="n">
        <v>45850</v>
      </c>
      <c r="C79" s="11" t="n">
        <v>3</v>
      </c>
      <c r="D79" s="11" t="n">
        <v>3.6</v>
      </c>
      <c r="E79" s="11" t="n">
        <v>8</v>
      </c>
      <c r="F79" s="11" t="n">
        <v>8</v>
      </c>
      <c r="G79" s="11" t="n">
        <v>8</v>
      </c>
      <c r="H79" s="11" t="n">
        <v>5</v>
      </c>
      <c r="I79" s="11" t="n">
        <v>10</v>
      </c>
      <c r="J79" s="11" t="s">
        <v>302</v>
      </c>
    </row>
    <row r="80" customFormat="false" ht="15" hidden="false" customHeight="false" outlineLevel="0" collapsed="false">
      <c r="A80" s="10" t="n">
        <v>79</v>
      </c>
      <c r="B80" s="14" t="n">
        <v>45969</v>
      </c>
      <c r="C80" s="10" t="n">
        <v>4</v>
      </c>
      <c r="D80" s="10" t="n">
        <v>3.9</v>
      </c>
      <c r="E80" s="10" t="n">
        <v>9</v>
      </c>
      <c r="F80" s="10" t="n">
        <v>7</v>
      </c>
      <c r="G80" s="10" t="n">
        <v>10</v>
      </c>
      <c r="H80" s="10" t="n">
        <v>8</v>
      </c>
      <c r="I80" s="10" t="n">
        <v>10</v>
      </c>
      <c r="J80" s="10" t="s">
        <v>302</v>
      </c>
    </row>
    <row r="81" customFormat="false" ht="15" hidden="false" customHeight="false" outlineLevel="0" collapsed="false">
      <c r="A81" s="11" t="n">
        <v>80</v>
      </c>
      <c r="B81" s="15" t="n">
        <v>45760</v>
      </c>
      <c r="C81" s="11" t="n">
        <v>1</v>
      </c>
      <c r="D81" s="11" t="n">
        <v>4.3</v>
      </c>
      <c r="E81" s="11" t="n">
        <v>9</v>
      </c>
      <c r="F81" s="11" t="n">
        <v>10</v>
      </c>
      <c r="G81" s="11" t="n">
        <v>7</v>
      </c>
      <c r="H81" s="11" t="n">
        <v>9</v>
      </c>
      <c r="I81" s="11" t="n">
        <v>10</v>
      </c>
      <c r="J81" s="11" t="s">
        <v>302</v>
      </c>
    </row>
    <row r="82" customFormat="false" ht="15" hidden="false" customHeight="false" outlineLevel="0" collapsed="false">
      <c r="A82" s="10" t="n">
        <v>81</v>
      </c>
      <c r="B82" s="14" t="n">
        <v>45696</v>
      </c>
      <c r="C82" s="10" t="n">
        <v>3</v>
      </c>
      <c r="D82" s="10" t="n">
        <v>16.6</v>
      </c>
      <c r="E82" s="10" t="n">
        <v>5</v>
      </c>
      <c r="F82" s="10" t="n">
        <v>6</v>
      </c>
      <c r="G82" s="10" t="n">
        <v>10</v>
      </c>
      <c r="H82" s="10" t="n">
        <v>7</v>
      </c>
      <c r="I82" s="10" t="n">
        <v>5.6</v>
      </c>
      <c r="J82" s="10" t="s">
        <v>337</v>
      </c>
    </row>
    <row r="83" customFormat="false" ht="15" hidden="false" customHeight="false" outlineLevel="0" collapsed="false">
      <c r="A83" s="11" t="n">
        <v>82</v>
      </c>
      <c r="B83" s="15" t="n">
        <v>45720</v>
      </c>
      <c r="C83" s="11" t="n">
        <v>1</v>
      </c>
      <c r="D83" s="11" t="n">
        <v>9.4</v>
      </c>
      <c r="E83" s="11" t="n">
        <v>6</v>
      </c>
      <c r="F83" s="11" t="n">
        <v>6</v>
      </c>
      <c r="G83" s="11" t="n">
        <v>9</v>
      </c>
      <c r="H83" s="11" t="n">
        <v>5</v>
      </c>
      <c r="I83" s="11" t="n">
        <v>6.9</v>
      </c>
      <c r="J83" s="11" t="s">
        <v>337</v>
      </c>
    </row>
    <row r="84" customFormat="false" ht="15" hidden="false" customHeight="false" outlineLevel="0" collapsed="false">
      <c r="A84" s="10" t="n">
        <v>83</v>
      </c>
      <c r="B84" s="14" t="n">
        <v>45914</v>
      </c>
      <c r="C84" s="10" t="n">
        <v>2</v>
      </c>
      <c r="D84" s="10" t="n">
        <v>7.5</v>
      </c>
      <c r="E84" s="10" t="n">
        <v>10</v>
      </c>
      <c r="F84" s="10" t="n">
        <v>5</v>
      </c>
      <c r="G84" s="10" t="n">
        <v>6</v>
      </c>
      <c r="H84" s="10" t="n">
        <v>9</v>
      </c>
      <c r="I84" s="10" t="n">
        <v>9.7</v>
      </c>
      <c r="J84" s="10" t="s">
        <v>302</v>
      </c>
    </row>
    <row r="85" customFormat="false" ht="15" hidden="false" customHeight="false" outlineLevel="0" collapsed="false">
      <c r="A85" s="11" t="n">
        <v>84</v>
      </c>
      <c r="B85" s="15" t="n">
        <v>45996</v>
      </c>
      <c r="C85" s="11" t="n">
        <v>4</v>
      </c>
      <c r="D85" s="11" t="n">
        <v>6.5</v>
      </c>
      <c r="E85" s="11" t="n">
        <v>8</v>
      </c>
      <c r="F85" s="11" t="n">
        <v>6</v>
      </c>
      <c r="G85" s="11" t="n">
        <v>6</v>
      </c>
      <c r="H85" s="11" t="n">
        <v>9</v>
      </c>
      <c r="I85" s="11" t="n">
        <v>8.1</v>
      </c>
      <c r="J85" s="11" t="s">
        <v>302</v>
      </c>
    </row>
    <row r="86" customFormat="false" ht="15" hidden="false" customHeight="false" outlineLevel="0" collapsed="false">
      <c r="A86" s="10" t="n">
        <v>85</v>
      </c>
      <c r="B86" s="14" t="n">
        <v>45710</v>
      </c>
      <c r="C86" s="10" t="n">
        <v>5</v>
      </c>
      <c r="D86" s="10" t="n">
        <v>12.1</v>
      </c>
      <c r="E86" s="10" t="n">
        <v>6</v>
      </c>
      <c r="F86" s="10" t="n">
        <v>4</v>
      </c>
      <c r="G86" s="10" t="n">
        <v>7</v>
      </c>
      <c r="H86" s="10" t="n">
        <v>6</v>
      </c>
      <c r="I86" s="10" t="n">
        <v>6.2</v>
      </c>
      <c r="J86" s="10" t="s">
        <v>337</v>
      </c>
    </row>
    <row r="87" customFormat="false" ht="15" hidden="false" customHeight="false" outlineLevel="0" collapsed="false">
      <c r="A87" s="11" t="n">
        <v>86</v>
      </c>
      <c r="B87" s="15" t="n">
        <v>45719</v>
      </c>
      <c r="C87" s="11" t="n">
        <v>2</v>
      </c>
      <c r="D87" s="11" t="n">
        <v>10.4</v>
      </c>
      <c r="E87" s="11" t="n">
        <v>8</v>
      </c>
      <c r="F87" s="11" t="n">
        <v>5</v>
      </c>
      <c r="G87" s="11" t="n">
        <v>7</v>
      </c>
      <c r="H87" s="11" t="n">
        <v>7</v>
      </c>
      <c r="I87" s="11" t="n">
        <v>7.9</v>
      </c>
      <c r="J87" s="11" t="s">
        <v>302</v>
      </c>
    </row>
    <row r="88" customFormat="false" ht="15" hidden="false" customHeight="false" outlineLevel="0" collapsed="false">
      <c r="A88" s="10" t="n">
        <v>87</v>
      </c>
      <c r="B88" s="14" t="n">
        <v>45996</v>
      </c>
      <c r="C88" s="10" t="n">
        <v>5</v>
      </c>
      <c r="D88" s="10" t="n">
        <v>6.2</v>
      </c>
      <c r="E88" s="10" t="n">
        <v>8</v>
      </c>
      <c r="F88" s="10" t="n">
        <v>9</v>
      </c>
      <c r="G88" s="10" t="n">
        <v>8</v>
      </c>
      <c r="H88" s="10" t="n">
        <v>7</v>
      </c>
      <c r="I88" s="10" t="n">
        <v>9.5</v>
      </c>
      <c r="J88" s="10" t="s">
        <v>302</v>
      </c>
    </row>
    <row r="89" customFormat="false" ht="15" hidden="false" customHeight="false" outlineLevel="0" collapsed="false">
      <c r="A89" s="11" t="n">
        <v>88</v>
      </c>
      <c r="B89" s="15" t="n">
        <v>45984</v>
      </c>
      <c r="C89" s="11" t="n">
        <v>1</v>
      </c>
      <c r="D89" s="11" t="n">
        <v>6.6</v>
      </c>
      <c r="E89" s="11" t="n">
        <v>10</v>
      </c>
      <c r="F89" s="11" t="n">
        <v>4</v>
      </c>
      <c r="G89" s="11" t="n">
        <v>10</v>
      </c>
      <c r="H89" s="11" t="n">
        <v>5</v>
      </c>
      <c r="I89" s="11" t="n">
        <v>9.5</v>
      </c>
      <c r="J89" s="11" t="s">
        <v>302</v>
      </c>
    </row>
    <row r="90" customFormat="false" ht="15" hidden="false" customHeight="false" outlineLevel="0" collapsed="false">
      <c r="A90" s="10" t="n">
        <v>89</v>
      </c>
      <c r="B90" s="14" t="n">
        <v>45906</v>
      </c>
      <c r="C90" s="10" t="n">
        <v>1</v>
      </c>
      <c r="D90" s="10" t="n">
        <v>4.5</v>
      </c>
      <c r="E90" s="10" t="n">
        <v>8</v>
      </c>
      <c r="F90" s="10" t="n">
        <v>8</v>
      </c>
      <c r="G90" s="10" t="n">
        <v>8</v>
      </c>
      <c r="H90" s="10" t="n">
        <v>8</v>
      </c>
      <c r="I90" s="10" t="n">
        <v>10</v>
      </c>
      <c r="J90" s="10" t="s">
        <v>302</v>
      </c>
    </row>
    <row r="91" customFormat="false" ht="15" hidden="false" customHeight="false" outlineLevel="0" collapsed="false">
      <c r="A91" s="11" t="n">
        <v>90</v>
      </c>
      <c r="B91" s="15" t="n">
        <v>45910</v>
      </c>
      <c r="C91" s="11" t="n">
        <v>2</v>
      </c>
      <c r="D91" s="11" t="n">
        <v>5.4</v>
      </c>
      <c r="E91" s="11" t="n">
        <v>5</v>
      </c>
      <c r="F91" s="11" t="n">
        <v>8</v>
      </c>
      <c r="G91" s="11" t="n">
        <v>9</v>
      </c>
      <c r="H91" s="11" t="n">
        <v>5</v>
      </c>
      <c r="I91" s="11" t="n">
        <v>8.6</v>
      </c>
      <c r="J91" s="11" t="s">
        <v>302</v>
      </c>
    </row>
    <row r="92" customFormat="false" ht="15" hidden="false" customHeight="false" outlineLevel="0" collapsed="false">
      <c r="A92" s="10" t="n">
        <v>91</v>
      </c>
      <c r="B92" s="14" t="n">
        <v>45998</v>
      </c>
      <c r="C92" s="10" t="n">
        <v>4</v>
      </c>
      <c r="D92" s="10" t="n">
        <v>5.5</v>
      </c>
      <c r="E92" s="10" t="n">
        <v>6</v>
      </c>
      <c r="F92" s="10" t="n">
        <v>10</v>
      </c>
      <c r="G92" s="10" t="n">
        <v>10</v>
      </c>
      <c r="H92" s="10" t="n">
        <v>8</v>
      </c>
      <c r="I92" s="10" t="n">
        <v>10</v>
      </c>
      <c r="J92" s="10" t="s">
        <v>302</v>
      </c>
    </row>
    <row r="93" customFormat="false" ht="15" hidden="false" customHeight="false" outlineLevel="0" collapsed="false">
      <c r="A93" s="11" t="n">
        <v>92</v>
      </c>
      <c r="B93" s="15" t="n">
        <v>45715</v>
      </c>
      <c r="C93" s="11" t="n">
        <v>4</v>
      </c>
      <c r="D93" s="11" t="n">
        <v>2.7</v>
      </c>
      <c r="E93" s="11" t="n">
        <v>8</v>
      </c>
      <c r="F93" s="11" t="n">
        <v>10</v>
      </c>
      <c r="G93" s="11" t="n">
        <v>9</v>
      </c>
      <c r="H93" s="11" t="n">
        <v>5</v>
      </c>
      <c r="I93" s="11" t="n">
        <v>10</v>
      </c>
      <c r="J93" s="11" t="s">
        <v>302</v>
      </c>
    </row>
    <row r="94" customFormat="false" ht="15" hidden="false" customHeight="false" outlineLevel="0" collapsed="false">
      <c r="A94" s="10" t="n">
        <v>93</v>
      </c>
      <c r="B94" s="14" t="n">
        <v>45683</v>
      </c>
      <c r="C94" s="10" t="n">
        <v>3</v>
      </c>
      <c r="D94" s="10" t="n">
        <v>5.8</v>
      </c>
      <c r="E94" s="10" t="n">
        <v>5</v>
      </c>
      <c r="F94" s="10" t="n">
        <v>4</v>
      </c>
      <c r="G94" s="10" t="n">
        <v>6</v>
      </c>
      <c r="H94" s="10" t="n">
        <v>6</v>
      </c>
      <c r="I94" s="10" t="n">
        <v>6.4</v>
      </c>
      <c r="J94" s="10" t="s">
        <v>337</v>
      </c>
    </row>
    <row r="95" customFormat="false" ht="15" hidden="false" customHeight="false" outlineLevel="0" collapsed="false">
      <c r="A95" s="11" t="n">
        <v>94</v>
      </c>
      <c r="B95" s="15" t="n">
        <v>45955</v>
      </c>
      <c r="C95" s="11" t="n">
        <v>3</v>
      </c>
      <c r="D95" s="11" t="n">
        <v>9.4</v>
      </c>
      <c r="E95" s="11" t="n">
        <v>9</v>
      </c>
      <c r="F95" s="11" t="n">
        <v>4</v>
      </c>
      <c r="G95" s="11" t="n">
        <v>6</v>
      </c>
      <c r="H95" s="11" t="n">
        <v>5</v>
      </c>
      <c r="I95" s="11" t="n">
        <v>7.4</v>
      </c>
      <c r="J95" s="11" t="s">
        <v>337</v>
      </c>
    </row>
    <row r="96" customFormat="false" ht="15" hidden="false" customHeight="false" outlineLevel="0" collapsed="false">
      <c r="A96" s="10" t="n">
        <v>95</v>
      </c>
      <c r="B96" s="14" t="n">
        <v>45931</v>
      </c>
      <c r="C96" s="10" t="n">
        <v>3</v>
      </c>
      <c r="D96" s="10" t="n">
        <v>7.8</v>
      </c>
      <c r="E96" s="10" t="n">
        <v>5</v>
      </c>
      <c r="F96" s="10" t="n">
        <v>5</v>
      </c>
      <c r="G96" s="10" t="n">
        <v>8</v>
      </c>
      <c r="H96" s="10" t="n">
        <v>4</v>
      </c>
      <c r="I96" s="10" t="n">
        <v>6.9</v>
      </c>
      <c r="J96" s="10" t="s">
        <v>337</v>
      </c>
    </row>
    <row r="97" customFormat="false" ht="15" hidden="false" customHeight="false" outlineLevel="0" collapsed="false">
      <c r="A97" s="11" t="n">
        <v>96</v>
      </c>
      <c r="B97" s="15" t="n">
        <v>45949</v>
      </c>
      <c r="C97" s="11" t="n">
        <v>1</v>
      </c>
      <c r="D97" s="11" t="n">
        <v>2.1</v>
      </c>
      <c r="E97" s="11" t="n">
        <v>5</v>
      </c>
      <c r="F97" s="11" t="n">
        <v>4</v>
      </c>
      <c r="G97" s="11" t="n">
        <v>8</v>
      </c>
      <c r="H97" s="11" t="n">
        <v>4</v>
      </c>
      <c r="I97" s="11" t="n">
        <v>7.2</v>
      </c>
      <c r="J97" s="11" t="s">
        <v>337</v>
      </c>
    </row>
    <row r="98" customFormat="false" ht="15" hidden="false" customHeight="false" outlineLevel="0" collapsed="false">
      <c r="A98" s="10" t="n">
        <v>97</v>
      </c>
      <c r="B98" s="14" t="n">
        <v>45778</v>
      </c>
      <c r="C98" s="10" t="n">
        <v>3</v>
      </c>
      <c r="D98" s="10" t="n">
        <v>7.1</v>
      </c>
      <c r="E98" s="10" t="n">
        <v>9</v>
      </c>
      <c r="F98" s="10" t="n">
        <v>5</v>
      </c>
      <c r="G98" s="10" t="n">
        <v>8</v>
      </c>
      <c r="H98" s="10" t="n">
        <v>7</v>
      </c>
      <c r="I98" s="10" t="n">
        <v>7.4</v>
      </c>
      <c r="J98" s="10" t="s">
        <v>337</v>
      </c>
    </row>
    <row r="99" customFormat="false" ht="15" hidden="false" customHeight="false" outlineLevel="0" collapsed="false">
      <c r="A99" s="11" t="n">
        <v>98</v>
      </c>
      <c r="B99" s="15" t="n">
        <v>46003</v>
      </c>
      <c r="C99" s="11" t="n">
        <v>2</v>
      </c>
      <c r="D99" s="11" t="n">
        <v>6.6</v>
      </c>
      <c r="E99" s="11" t="n">
        <v>8</v>
      </c>
      <c r="F99" s="11" t="n">
        <v>9</v>
      </c>
      <c r="G99" s="11" t="n">
        <v>10</v>
      </c>
      <c r="H99" s="11" t="n">
        <v>4</v>
      </c>
      <c r="I99" s="11" t="n">
        <v>9.4</v>
      </c>
      <c r="J99" s="11" t="s">
        <v>302</v>
      </c>
    </row>
    <row r="100" customFormat="false" ht="15" hidden="false" customHeight="false" outlineLevel="0" collapsed="false">
      <c r="A100" s="10" t="n">
        <v>99</v>
      </c>
      <c r="B100" s="14" t="n">
        <v>45926</v>
      </c>
      <c r="C100" s="10" t="n">
        <v>2</v>
      </c>
      <c r="D100" s="10" t="n">
        <v>12.3</v>
      </c>
      <c r="E100" s="10" t="n">
        <v>8</v>
      </c>
      <c r="F100" s="10" t="n">
        <v>8</v>
      </c>
      <c r="G100" s="10" t="n">
        <v>6</v>
      </c>
      <c r="H100" s="10" t="n">
        <v>6</v>
      </c>
      <c r="I100" s="10" t="n">
        <v>7.8</v>
      </c>
      <c r="J100" s="10" t="s">
        <v>302</v>
      </c>
    </row>
    <row r="101" customFormat="false" ht="15" hidden="false" customHeight="false" outlineLevel="0" collapsed="false">
      <c r="A101" s="11" t="n">
        <v>100</v>
      </c>
      <c r="B101" s="15" t="n">
        <v>45721</v>
      </c>
      <c r="C101" s="11" t="n">
        <v>4</v>
      </c>
      <c r="D101" s="11" t="n">
        <v>10.7</v>
      </c>
      <c r="E101" s="11" t="n">
        <v>10</v>
      </c>
      <c r="F101" s="11" t="n">
        <v>5</v>
      </c>
      <c r="G101" s="11" t="n">
        <v>7</v>
      </c>
      <c r="H101" s="11" t="n">
        <v>9</v>
      </c>
      <c r="I101" s="11" t="n">
        <v>9.1</v>
      </c>
      <c r="J101" s="11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40"/>
  </cols>
  <sheetData>
    <row r="2" customFormat="false" ht="17.35" hidden="false" customHeight="false" outlineLevel="0" collapsed="false">
      <c r="B2" s="19" t="s">
        <v>338</v>
      </c>
    </row>
    <row r="3" customFormat="false" ht="15" hidden="false" customHeight="false" outlineLevel="0" collapsed="false">
      <c r="B3" s="20" t="s">
        <v>339</v>
      </c>
    </row>
    <row r="5" customFormat="false" ht="30" hidden="false" customHeight="true" outlineLevel="0" collapsed="false">
      <c r="A5" s="5"/>
      <c r="B5" s="5" t="s">
        <v>340</v>
      </c>
      <c r="C5" s="5" t="s">
        <v>341</v>
      </c>
      <c r="D5" s="5" t="s">
        <v>342</v>
      </c>
      <c r="E5" s="5" t="s">
        <v>343</v>
      </c>
      <c r="F5" s="5" t="s">
        <v>344</v>
      </c>
      <c r="G5" s="21" t="s">
        <v>5</v>
      </c>
    </row>
    <row r="6" customFormat="false" ht="15" hidden="false" customHeight="false" outlineLevel="0" collapsed="false">
      <c r="B6" s="10" t="s">
        <v>345</v>
      </c>
      <c r="C6" s="10" t="s">
        <v>346</v>
      </c>
      <c r="D6" s="17" t="n">
        <v>1200000</v>
      </c>
      <c r="E6" s="17" t="n">
        <v>150000</v>
      </c>
      <c r="F6" s="10" t="s">
        <v>347</v>
      </c>
      <c r="G6" s="10" t="s">
        <v>348</v>
      </c>
    </row>
    <row r="7" customFormat="false" ht="15" hidden="false" customHeight="false" outlineLevel="0" collapsed="false">
      <c r="B7" s="11" t="s">
        <v>349</v>
      </c>
      <c r="C7" s="11" t="s">
        <v>350</v>
      </c>
      <c r="D7" s="16" t="n">
        <v>0.38</v>
      </c>
      <c r="E7" s="16" t="n">
        <v>0.48</v>
      </c>
      <c r="F7" s="11" t="s">
        <v>351</v>
      </c>
      <c r="G7" s="11" t="s">
        <v>352</v>
      </c>
    </row>
    <row r="8" customFormat="false" ht="15" hidden="false" customHeight="false" outlineLevel="0" collapsed="false">
      <c r="B8" s="10" t="s">
        <v>353</v>
      </c>
      <c r="C8" s="10" t="s">
        <v>354</v>
      </c>
      <c r="D8" s="17" t="n">
        <v>280000</v>
      </c>
      <c r="E8" s="17" t="n">
        <v>340000</v>
      </c>
      <c r="F8" s="10" t="s">
        <v>347</v>
      </c>
      <c r="G8" s="10" t="s">
        <v>355</v>
      </c>
    </row>
    <row r="9" customFormat="false" ht="15" hidden="false" customHeight="false" outlineLevel="0" collapsed="false">
      <c r="B9" s="11" t="s">
        <v>356</v>
      </c>
      <c r="C9" s="11" t="s">
        <v>357</v>
      </c>
      <c r="D9" s="16" t="n">
        <v>0.3</v>
      </c>
      <c r="E9" s="11" t="n">
        <v>0</v>
      </c>
      <c r="F9" s="11" t="s">
        <v>351</v>
      </c>
      <c r="G9" s="11" t="s">
        <v>358</v>
      </c>
    </row>
    <row r="10" customFormat="false" ht="15" hidden="false" customHeight="false" outlineLevel="0" collapsed="false">
      <c r="B10" s="10" t="s">
        <v>359</v>
      </c>
      <c r="C10" s="10" t="s">
        <v>360</v>
      </c>
      <c r="D10" s="10" t="n">
        <v>10000</v>
      </c>
      <c r="E10" s="10" t="n">
        <v>0</v>
      </c>
      <c r="F10" s="10" t="s">
        <v>361</v>
      </c>
      <c r="G10" s="10" t="s">
        <v>362</v>
      </c>
    </row>
    <row r="13" customFormat="false" ht="15" hidden="false" customHeight="false" outlineLevel="0" collapsed="false">
      <c r="B13" s="22" t="s">
        <v>363</v>
      </c>
    </row>
    <row r="14" customFormat="false" ht="15" hidden="false" customHeight="true" outlineLevel="0" collapsed="false">
      <c r="B14" s="23" t="s">
        <v>364</v>
      </c>
      <c r="C14" s="23"/>
      <c r="D14" s="23"/>
      <c r="E14" s="23"/>
      <c r="F14" s="23"/>
      <c r="G14" s="23"/>
    </row>
    <row r="16" customFormat="false" ht="15" hidden="false" customHeight="false" outlineLevel="0" collapsed="false">
      <c r="B16" s="22" t="s">
        <v>365</v>
      </c>
    </row>
    <row r="17" customFormat="false" ht="15" hidden="false" customHeight="false" outlineLevel="0" collapsed="false">
      <c r="B17" s="24" t="s">
        <v>366</v>
      </c>
      <c r="C17" s="24"/>
      <c r="D17" s="24"/>
      <c r="E17" s="24"/>
      <c r="F17" s="24"/>
      <c r="G17" s="24"/>
    </row>
    <row r="19" customFormat="false" ht="15" hidden="false" customHeight="false" outlineLevel="0" collapsed="false">
      <c r="B19" s="25" t="s">
        <v>367</v>
      </c>
    </row>
    <row r="20" customFormat="false" ht="15" hidden="false" customHeight="false" outlineLevel="0" collapsed="false">
      <c r="B20" s="9" t="s">
        <v>368</v>
      </c>
      <c r="C20" s="26" t="n">
        <v>1200000</v>
      </c>
    </row>
    <row r="21" customFormat="false" ht="15" hidden="false" customHeight="false" outlineLevel="0" collapsed="false">
      <c r="B21" s="9" t="s">
        <v>369</v>
      </c>
      <c r="C21" s="26" t="n">
        <f aca="false">C20*0.43</f>
        <v>516000</v>
      </c>
    </row>
    <row r="22" customFormat="false" ht="15" hidden="false" customHeight="false" outlineLevel="0" collapsed="false">
      <c r="B22" s="9" t="s">
        <v>370</v>
      </c>
      <c r="C22" s="26" t="n">
        <v>310000</v>
      </c>
    </row>
    <row r="23" customFormat="false" ht="15" hidden="false" customHeight="false" outlineLevel="0" collapsed="false">
      <c r="B23" s="9" t="s">
        <v>371</v>
      </c>
      <c r="C23" s="26" t="n">
        <f aca="false">C20-C21-C22</f>
        <v>374000</v>
      </c>
    </row>
    <row r="24" customFormat="false" ht="15" hidden="false" customHeight="false" outlineLevel="0" collapsed="false">
      <c r="B24" s="9" t="s">
        <v>372</v>
      </c>
      <c r="C24" s="26" t="n">
        <f aca="false">C23*0.3</f>
        <v>112200</v>
      </c>
    </row>
    <row r="25" customFormat="false" ht="15" hidden="false" customHeight="false" outlineLevel="0" collapsed="false">
      <c r="B25" s="27" t="s">
        <v>373</v>
      </c>
      <c r="C25" s="28" t="n">
        <f aca="false">C23-C24</f>
        <v>261800</v>
      </c>
    </row>
  </sheetData>
  <mergeCells count="2">
    <mergeCell ref="B14:G14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22"/>
  </cols>
  <sheetData>
    <row r="1" customFormat="false" ht="30" hidden="false" customHeight="true" outlineLevel="0" collapsed="false">
      <c r="A1" s="5" t="s">
        <v>374</v>
      </c>
      <c r="B1" s="5" t="s">
        <v>375</v>
      </c>
      <c r="C1" s="5" t="s">
        <v>376</v>
      </c>
      <c r="D1" s="5" t="s">
        <v>5</v>
      </c>
      <c r="E1" s="5" t="s">
        <v>377</v>
      </c>
    </row>
    <row r="2" customFormat="false" ht="15" hidden="false" customHeight="false" outlineLevel="0" collapsed="false">
      <c r="A2" s="10" t="s">
        <v>15</v>
      </c>
      <c r="B2" s="10" t="s">
        <v>52</v>
      </c>
      <c r="C2" s="10" t="s">
        <v>378</v>
      </c>
      <c r="D2" s="10" t="s">
        <v>379</v>
      </c>
      <c r="E2" s="10" t="s">
        <v>380</v>
      </c>
    </row>
    <row r="3" customFormat="false" ht="15" hidden="false" customHeight="false" outlineLevel="0" collapsed="false">
      <c r="A3" s="11" t="s">
        <v>15</v>
      </c>
      <c r="B3" s="11" t="s">
        <v>53</v>
      </c>
      <c r="C3" s="11" t="s">
        <v>381</v>
      </c>
      <c r="D3" s="11" t="s">
        <v>382</v>
      </c>
      <c r="E3" s="11" t="s">
        <v>59</v>
      </c>
    </row>
    <row r="4" customFormat="false" ht="15" hidden="false" customHeight="false" outlineLevel="0" collapsed="false">
      <c r="A4" s="10" t="s">
        <v>15</v>
      </c>
      <c r="B4" s="10" t="s">
        <v>54</v>
      </c>
      <c r="C4" s="10" t="s">
        <v>381</v>
      </c>
      <c r="D4" s="10" t="s">
        <v>383</v>
      </c>
      <c r="E4" s="10" t="s">
        <v>60</v>
      </c>
    </row>
    <row r="5" customFormat="false" ht="15" hidden="false" customHeight="false" outlineLevel="0" collapsed="false">
      <c r="A5" s="11" t="s">
        <v>15</v>
      </c>
      <c r="B5" s="11" t="s">
        <v>55</v>
      </c>
      <c r="C5" s="11" t="s">
        <v>381</v>
      </c>
      <c r="D5" s="11" t="s">
        <v>384</v>
      </c>
      <c r="E5" s="11" t="s">
        <v>61</v>
      </c>
    </row>
    <row r="6" customFormat="false" ht="15" hidden="false" customHeight="false" outlineLevel="0" collapsed="false">
      <c r="A6" s="10" t="s">
        <v>15</v>
      </c>
      <c r="B6" s="10" t="s">
        <v>56</v>
      </c>
      <c r="C6" s="10" t="s">
        <v>385</v>
      </c>
      <c r="D6" s="10" t="s">
        <v>386</v>
      </c>
      <c r="E6" s="10" t="s">
        <v>62</v>
      </c>
    </row>
    <row r="7" customFormat="false" ht="15" hidden="false" customHeight="false" outlineLevel="0" collapsed="false">
      <c r="A7" s="11" t="s">
        <v>15</v>
      </c>
      <c r="B7" s="11" t="s">
        <v>57</v>
      </c>
      <c r="C7" s="11" t="s">
        <v>287</v>
      </c>
      <c r="D7" s="11" t="s">
        <v>387</v>
      </c>
      <c r="E7" s="11" t="s">
        <v>63</v>
      </c>
    </row>
    <row r="8" customFormat="false" ht="15" hidden="false" customHeight="false" outlineLevel="0" collapsed="false">
      <c r="A8" s="10" t="s">
        <v>15</v>
      </c>
      <c r="B8" s="10" t="s">
        <v>58</v>
      </c>
      <c r="C8" s="10" t="s">
        <v>388</v>
      </c>
      <c r="D8" s="10" t="s">
        <v>389</v>
      </c>
      <c r="E8" s="10" t="s">
        <v>390</v>
      </c>
    </row>
    <row r="9" customFormat="false" ht="15" hidden="false" customHeight="false" outlineLevel="0" collapsed="false">
      <c r="A9" s="11" t="s">
        <v>10</v>
      </c>
      <c r="B9" s="11" t="s">
        <v>80</v>
      </c>
      <c r="C9" s="11" t="s">
        <v>378</v>
      </c>
      <c r="D9" s="11" t="s">
        <v>391</v>
      </c>
      <c r="E9" s="11" t="s">
        <v>392</v>
      </c>
    </row>
    <row r="10" customFormat="false" ht="15" hidden="false" customHeight="false" outlineLevel="0" collapsed="false">
      <c r="A10" s="10" t="s">
        <v>10</v>
      </c>
      <c r="B10" s="10" t="s">
        <v>81</v>
      </c>
      <c r="C10" s="10" t="s">
        <v>381</v>
      </c>
      <c r="D10" s="10" t="s">
        <v>393</v>
      </c>
      <c r="E10" s="10" t="s">
        <v>95</v>
      </c>
    </row>
    <row r="11" customFormat="false" ht="15" hidden="false" customHeight="false" outlineLevel="0" collapsed="false">
      <c r="A11" s="11" t="s">
        <v>10</v>
      </c>
      <c r="B11" s="11" t="s">
        <v>54</v>
      </c>
      <c r="C11" s="11" t="s">
        <v>381</v>
      </c>
      <c r="D11" s="11" t="s">
        <v>394</v>
      </c>
      <c r="E11" s="11" t="s">
        <v>96</v>
      </c>
    </row>
    <row r="12" customFormat="false" ht="15" hidden="false" customHeight="false" outlineLevel="0" collapsed="false">
      <c r="A12" s="10" t="s">
        <v>10</v>
      </c>
      <c r="B12" s="10" t="s">
        <v>82</v>
      </c>
      <c r="C12" s="10" t="s">
        <v>385</v>
      </c>
      <c r="D12" s="10" t="s">
        <v>395</v>
      </c>
      <c r="E12" s="10" t="s">
        <v>88</v>
      </c>
    </row>
    <row r="13" customFormat="false" ht="15" hidden="false" customHeight="false" outlineLevel="0" collapsed="false">
      <c r="A13" s="11" t="s">
        <v>10</v>
      </c>
      <c r="B13" s="11" t="s">
        <v>83</v>
      </c>
      <c r="C13" s="11" t="s">
        <v>396</v>
      </c>
      <c r="D13" s="11" t="s">
        <v>397</v>
      </c>
      <c r="E13" s="11" t="s">
        <v>398</v>
      </c>
    </row>
    <row r="14" customFormat="false" ht="15" hidden="false" customHeight="false" outlineLevel="0" collapsed="false">
      <c r="A14" s="10" t="s">
        <v>10</v>
      </c>
      <c r="B14" s="10" t="s">
        <v>84</v>
      </c>
      <c r="C14" s="10" t="s">
        <v>396</v>
      </c>
      <c r="D14" s="10" t="s">
        <v>399</v>
      </c>
      <c r="E14" s="10" t="s">
        <v>400</v>
      </c>
    </row>
    <row r="15" customFormat="false" ht="15" hidden="false" customHeight="false" outlineLevel="0" collapsed="false">
      <c r="A15" s="11" t="s">
        <v>10</v>
      </c>
      <c r="B15" s="11" t="s">
        <v>85</v>
      </c>
      <c r="C15" s="11" t="s">
        <v>396</v>
      </c>
      <c r="D15" s="11" t="s">
        <v>401</v>
      </c>
      <c r="E15" s="11" t="s">
        <v>402</v>
      </c>
    </row>
    <row r="16" customFormat="false" ht="15" hidden="false" customHeight="false" outlineLevel="0" collapsed="false">
      <c r="A16" s="10" t="s">
        <v>13</v>
      </c>
      <c r="B16" s="10" t="s">
        <v>131</v>
      </c>
      <c r="C16" s="10" t="s">
        <v>378</v>
      </c>
      <c r="D16" s="10" t="s">
        <v>403</v>
      </c>
      <c r="E16" s="10" t="s">
        <v>390</v>
      </c>
    </row>
    <row r="17" customFormat="false" ht="15" hidden="false" customHeight="false" outlineLevel="0" collapsed="false">
      <c r="A17" s="11" t="s">
        <v>13</v>
      </c>
      <c r="B17" s="11" t="s">
        <v>54</v>
      </c>
      <c r="C17" s="11" t="s">
        <v>381</v>
      </c>
      <c r="D17" s="11" t="s">
        <v>404</v>
      </c>
      <c r="E17" s="11" t="s">
        <v>143</v>
      </c>
    </row>
    <row r="18" customFormat="false" ht="15" hidden="false" customHeight="false" outlineLevel="0" collapsed="false">
      <c r="A18" s="10" t="s">
        <v>13</v>
      </c>
      <c r="B18" s="10" t="s">
        <v>132</v>
      </c>
      <c r="C18" s="10" t="s">
        <v>381</v>
      </c>
      <c r="D18" s="10" t="s">
        <v>405</v>
      </c>
      <c r="E18" s="10" t="s">
        <v>144</v>
      </c>
    </row>
    <row r="19" customFormat="false" ht="15" hidden="false" customHeight="false" outlineLevel="0" collapsed="false">
      <c r="A19" s="11" t="s">
        <v>13</v>
      </c>
      <c r="B19" s="11" t="s">
        <v>133</v>
      </c>
      <c r="C19" s="11" t="s">
        <v>385</v>
      </c>
      <c r="D19" s="11" t="s">
        <v>406</v>
      </c>
      <c r="E19" s="11" t="s">
        <v>61</v>
      </c>
    </row>
    <row r="20" customFormat="false" ht="15" hidden="false" customHeight="false" outlineLevel="0" collapsed="false">
      <c r="A20" s="10" t="s">
        <v>13</v>
      </c>
      <c r="B20" s="10" t="s">
        <v>134</v>
      </c>
      <c r="C20" s="10" t="s">
        <v>385</v>
      </c>
      <c r="D20" s="10" t="s">
        <v>407</v>
      </c>
      <c r="E20" s="10" t="s">
        <v>142</v>
      </c>
    </row>
    <row r="21" customFormat="false" ht="15" hidden="false" customHeight="false" outlineLevel="0" collapsed="false">
      <c r="A21" s="11" t="s">
        <v>13</v>
      </c>
      <c r="B21" s="11" t="s">
        <v>135</v>
      </c>
      <c r="C21" s="11" t="s">
        <v>287</v>
      </c>
      <c r="D21" s="11" t="s">
        <v>408</v>
      </c>
      <c r="E21" s="11" t="s">
        <v>409</v>
      </c>
    </row>
    <row r="22" customFormat="false" ht="15" hidden="false" customHeight="false" outlineLevel="0" collapsed="false">
      <c r="A22" s="10" t="s">
        <v>13</v>
      </c>
      <c r="B22" s="10" t="s">
        <v>136</v>
      </c>
      <c r="C22" s="10" t="s">
        <v>388</v>
      </c>
      <c r="D22" s="10" t="s">
        <v>410</v>
      </c>
      <c r="E22" s="10" t="s">
        <v>411</v>
      </c>
    </row>
    <row r="23" customFormat="false" ht="15" hidden="false" customHeight="false" outlineLevel="0" collapsed="false">
      <c r="A23" s="11" t="s">
        <v>17</v>
      </c>
      <c r="B23" s="11" t="s">
        <v>262</v>
      </c>
      <c r="C23" s="11" t="s">
        <v>378</v>
      </c>
      <c r="D23" s="11" t="s">
        <v>412</v>
      </c>
      <c r="E23" s="11" t="s">
        <v>413</v>
      </c>
    </row>
    <row r="24" customFormat="false" ht="15" hidden="false" customHeight="false" outlineLevel="0" collapsed="false">
      <c r="A24" s="10" t="s">
        <v>17</v>
      </c>
      <c r="B24" s="10" t="s">
        <v>54</v>
      </c>
      <c r="C24" s="10" t="s">
        <v>381</v>
      </c>
      <c r="D24" s="10" t="s">
        <v>404</v>
      </c>
      <c r="E24" s="10" t="s">
        <v>271</v>
      </c>
    </row>
    <row r="25" customFormat="false" ht="15" hidden="false" customHeight="false" outlineLevel="0" collapsed="false">
      <c r="A25" s="11" t="s">
        <v>17</v>
      </c>
      <c r="B25" s="11" t="s">
        <v>52</v>
      </c>
      <c r="C25" s="11" t="s">
        <v>414</v>
      </c>
      <c r="D25" s="11" t="s">
        <v>415</v>
      </c>
      <c r="E25" s="11" t="s">
        <v>380</v>
      </c>
    </row>
    <row r="26" customFormat="false" ht="15" hidden="false" customHeight="false" outlineLevel="0" collapsed="false">
      <c r="A26" s="10" t="s">
        <v>17</v>
      </c>
      <c r="B26" s="10" t="s">
        <v>263</v>
      </c>
      <c r="C26" s="10" t="s">
        <v>287</v>
      </c>
      <c r="D26" s="10" t="s">
        <v>416</v>
      </c>
      <c r="E26" s="10" t="s">
        <v>272</v>
      </c>
    </row>
    <row r="27" customFormat="false" ht="15" hidden="false" customHeight="false" outlineLevel="0" collapsed="false">
      <c r="A27" s="11" t="s">
        <v>17</v>
      </c>
      <c r="B27" s="11" t="s">
        <v>264</v>
      </c>
      <c r="C27" s="11" t="s">
        <v>385</v>
      </c>
      <c r="D27" s="11" t="s">
        <v>417</v>
      </c>
      <c r="E27" s="11" t="s">
        <v>270</v>
      </c>
    </row>
    <row r="28" customFormat="false" ht="15" hidden="false" customHeight="false" outlineLevel="0" collapsed="false">
      <c r="A28" s="10" t="s">
        <v>19</v>
      </c>
      <c r="B28" s="10" t="s">
        <v>287</v>
      </c>
      <c r="C28" s="10" t="s">
        <v>418</v>
      </c>
      <c r="D28" s="10" t="s">
        <v>419</v>
      </c>
      <c r="E28" s="10" t="s">
        <v>420</v>
      </c>
    </row>
    <row r="29" customFormat="false" ht="15" hidden="false" customHeight="false" outlineLevel="0" collapsed="false">
      <c r="A29" s="11" t="s">
        <v>19</v>
      </c>
      <c r="B29" s="11" t="s">
        <v>288</v>
      </c>
      <c r="C29" s="11" t="s">
        <v>388</v>
      </c>
      <c r="D29" s="11" t="s">
        <v>288</v>
      </c>
      <c r="E29" s="11" t="s">
        <v>421</v>
      </c>
    </row>
    <row r="30" customFormat="false" ht="15" hidden="false" customHeight="false" outlineLevel="0" collapsed="false">
      <c r="A30" s="10" t="s">
        <v>19</v>
      </c>
      <c r="B30" s="10" t="s">
        <v>289</v>
      </c>
      <c r="C30" s="10" t="s">
        <v>388</v>
      </c>
      <c r="D30" s="10" t="s">
        <v>422</v>
      </c>
      <c r="E30" s="10" t="s">
        <v>413</v>
      </c>
    </row>
    <row r="31" customFormat="false" ht="15" hidden="false" customHeight="false" outlineLevel="0" collapsed="false">
      <c r="A31" s="11" t="s">
        <v>19</v>
      </c>
      <c r="B31" s="11" t="s">
        <v>290</v>
      </c>
      <c r="C31" s="11" t="s">
        <v>381</v>
      </c>
      <c r="D31" s="11" t="s">
        <v>423</v>
      </c>
      <c r="E31" s="11" t="s">
        <v>307</v>
      </c>
    </row>
    <row r="32" customFormat="false" ht="15" hidden="false" customHeight="false" outlineLevel="0" collapsed="false">
      <c r="A32" s="10" t="s">
        <v>19</v>
      </c>
      <c r="B32" s="10" t="s">
        <v>291</v>
      </c>
      <c r="C32" s="10" t="s">
        <v>381</v>
      </c>
      <c r="D32" s="10" t="s">
        <v>424</v>
      </c>
      <c r="E32" s="10" t="s">
        <v>296</v>
      </c>
    </row>
    <row r="33" customFormat="false" ht="15" hidden="false" customHeight="false" outlineLevel="0" collapsed="false">
      <c r="A33" s="11" t="s">
        <v>19</v>
      </c>
      <c r="B33" s="11" t="s">
        <v>292</v>
      </c>
      <c r="C33" s="11" t="s">
        <v>388</v>
      </c>
      <c r="D33" s="11" t="s">
        <v>425</v>
      </c>
      <c r="E33" s="11" t="s">
        <v>426</v>
      </c>
    </row>
    <row r="34" customFormat="false" ht="15" hidden="false" customHeight="false" outlineLevel="0" collapsed="false">
      <c r="A34" s="10" t="s">
        <v>19</v>
      </c>
      <c r="B34" s="10" t="s">
        <v>293</v>
      </c>
      <c r="C34" s="10" t="s">
        <v>381</v>
      </c>
      <c r="D34" s="10" t="s">
        <v>427</v>
      </c>
      <c r="E34" s="10" t="s">
        <v>301</v>
      </c>
    </row>
    <row r="35" customFormat="false" ht="15" hidden="false" customHeight="false" outlineLevel="0" collapsed="false">
      <c r="A35" s="11" t="s">
        <v>19</v>
      </c>
      <c r="B35" s="11" t="s">
        <v>294</v>
      </c>
      <c r="C35" s="11" t="s">
        <v>385</v>
      </c>
      <c r="D35" s="11" t="s">
        <v>428</v>
      </c>
      <c r="E35" s="11" t="s">
        <v>302</v>
      </c>
    </row>
    <row r="36" customFormat="false" ht="15" hidden="false" customHeight="false" outlineLevel="0" collapsed="false">
      <c r="A36" s="10" t="s">
        <v>7</v>
      </c>
      <c r="B36" s="10" t="s">
        <v>320</v>
      </c>
      <c r="C36" s="10" t="s">
        <v>378</v>
      </c>
      <c r="D36" s="10" t="s">
        <v>429</v>
      </c>
      <c r="E36" s="10" t="s">
        <v>430</v>
      </c>
    </row>
    <row r="37" customFormat="false" ht="15" hidden="false" customHeight="false" outlineLevel="0" collapsed="false">
      <c r="A37" s="11" t="s">
        <v>7</v>
      </c>
      <c r="B37" s="11" t="s">
        <v>287</v>
      </c>
      <c r="C37" s="11" t="s">
        <v>431</v>
      </c>
      <c r="D37" s="11" t="s">
        <v>432</v>
      </c>
      <c r="E37" s="11" t="s">
        <v>420</v>
      </c>
    </row>
    <row r="38" customFormat="false" ht="15" hidden="false" customHeight="false" outlineLevel="0" collapsed="false">
      <c r="A38" s="10" t="s">
        <v>7</v>
      </c>
      <c r="B38" s="10" t="s">
        <v>52</v>
      </c>
      <c r="C38" s="10" t="s">
        <v>414</v>
      </c>
      <c r="D38" s="10" t="s">
        <v>433</v>
      </c>
      <c r="E38" s="10" t="s">
        <v>380</v>
      </c>
    </row>
    <row r="39" customFormat="false" ht="15" hidden="false" customHeight="false" outlineLevel="0" collapsed="false">
      <c r="A39" s="11" t="s">
        <v>7</v>
      </c>
      <c r="B39" s="11" t="s">
        <v>262</v>
      </c>
      <c r="C39" s="11" t="s">
        <v>414</v>
      </c>
      <c r="D39" s="11" t="s">
        <v>434</v>
      </c>
      <c r="E39" s="11" t="s">
        <v>413</v>
      </c>
    </row>
    <row r="40" customFormat="false" ht="15" hidden="false" customHeight="false" outlineLevel="0" collapsed="false">
      <c r="A40" s="10" t="s">
        <v>7</v>
      </c>
      <c r="B40" s="10" t="s">
        <v>131</v>
      </c>
      <c r="C40" s="10" t="s">
        <v>414</v>
      </c>
      <c r="D40" s="10" t="s">
        <v>435</v>
      </c>
      <c r="E40" s="10" t="s">
        <v>390</v>
      </c>
    </row>
    <row r="41" customFormat="false" ht="15" hidden="false" customHeight="false" outlineLevel="0" collapsed="false">
      <c r="A41" s="11" t="s">
        <v>7</v>
      </c>
      <c r="B41" s="11" t="s">
        <v>80</v>
      </c>
      <c r="C41" s="11" t="s">
        <v>414</v>
      </c>
      <c r="D41" s="11" t="s">
        <v>436</v>
      </c>
      <c r="E41" s="11" t="s">
        <v>392</v>
      </c>
    </row>
    <row r="42" customFormat="false" ht="15" hidden="false" customHeight="false" outlineLevel="0" collapsed="false">
      <c r="A42" s="10" t="s">
        <v>7</v>
      </c>
      <c r="B42" s="10" t="s">
        <v>321</v>
      </c>
      <c r="C42" s="10" t="s">
        <v>388</v>
      </c>
      <c r="D42" s="10" t="s">
        <v>437</v>
      </c>
      <c r="E42" s="10" t="s">
        <v>438</v>
      </c>
    </row>
    <row r="43" customFormat="false" ht="15" hidden="false" customHeight="false" outlineLevel="0" collapsed="false">
      <c r="A43" s="11" t="s">
        <v>7</v>
      </c>
      <c r="B43" s="11" t="s">
        <v>322</v>
      </c>
      <c r="C43" s="11" t="s">
        <v>396</v>
      </c>
      <c r="D43" s="11" t="s">
        <v>439</v>
      </c>
      <c r="E43" s="11" t="s">
        <v>400</v>
      </c>
    </row>
    <row r="44" customFormat="false" ht="15" hidden="false" customHeight="false" outlineLevel="0" collapsed="false">
      <c r="A44" s="10" t="s">
        <v>7</v>
      </c>
      <c r="B44" s="10" t="s">
        <v>323</v>
      </c>
      <c r="C44" s="10" t="s">
        <v>440</v>
      </c>
      <c r="D44" s="10" t="s">
        <v>441</v>
      </c>
      <c r="E44" s="10" t="s">
        <v>442</v>
      </c>
    </row>
    <row r="45" customFormat="false" ht="15" hidden="false" customHeight="false" outlineLevel="0" collapsed="false">
      <c r="A45" s="11" t="s">
        <v>7</v>
      </c>
      <c r="B45" s="11" t="s">
        <v>324</v>
      </c>
      <c r="C45" s="11" t="s">
        <v>396</v>
      </c>
      <c r="D45" s="11" t="s">
        <v>443</v>
      </c>
      <c r="E45" s="11" t="s">
        <v>444</v>
      </c>
    </row>
    <row r="46" customFormat="false" ht="15" hidden="false" customHeight="false" outlineLevel="0" collapsed="false">
      <c r="A46" s="10" t="s">
        <v>7</v>
      </c>
      <c r="B46" s="10" t="s">
        <v>325</v>
      </c>
      <c r="C46" s="10" t="s">
        <v>396</v>
      </c>
      <c r="D46" s="10" t="s">
        <v>445</v>
      </c>
      <c r="E46" s="10" t="s">
        <v>446</v>
      </c>
    </row>
    <row r="47" customFormat="false" ht="15" hidden="false" customHeight="false" outlineLevel="0" collapsed="false">
      <c r="A47" s="11" t="s">
        <v>21</v>
      </c>
      <c r="B47" s="11" t="s">
        <v>326</v>
      </c>
      <c r="C47" s="11" t="s">
        <v>378</v>
      </c>
      <c r="D47" s="11" t="s">
        <v>447</v>
      </c>
      <c r="E47" s="11" t="s">
        <v>448</v>
      </c>
    </row>
    <row r="48" customFormat="false" ht="15" hidden="false" customHeight="false" outlineLevel="0" collapsed="false">
      <c r="A48" s="10" t="s">
        <v>21</v>
      </c>
      <c r="B48" s="10" t="s">
        <v>52</v>
      </c>
      <c r="C48" s="10" t="s">
        <v>414</v>
      </c>
      <c r="D48" s="10" t="s">
        <v>449</v>
      </c>
      <c r="E48" s="10" t="s">
        <v>380</v>
      </c>
    </row>
    <row r="49" customFormat="false" ht="15" hidden="false" customHeight="false" outlineLevel="0" collapsed="false">
      <c r="A49" s="11" t="s">
        <v>21</v>
      </c>
      <c r="B49" s="11" t="s">
        <v>288</v>
      </c>
      <c r="C49" s="11" t="s">
        <v>388</v>
      </c>
      <c r="D49" s="11" t="s">
        <v>450</v>
      </c>
      <c r="E49" s="11" t="s">
        <v>421</v>
      </c>
    </row>
    <row r="50" customFormat="false" ht="15" hidden="false" customHeight="false" outlineLevel="0" collapsed="false">
      <c r="A50" s="10" t="s">
        <v>21</v>
      </c>
      <c r="B50" s="10" t="s">
        <v>289</v>
      </c>
      <c r="C50" s="10" t="s">
        <v>388</v>
      </c>
      <c r="D50" s="10" t="s">
        <v>451</v>
      </c>
      <c r="E50" s="10" t="s">
        <v>413</v>
      </c>
    </row>
    <row r="51" customFormat="false" ht="15" hidden="false" customHeight="false" outlineLevel="0" collapsed="false">
      <c r="A51" s="11" t="s">
        <v>21</v>
      </c>
      <c r="B51" s="11" t="s">
        <v>327</v>
      </c>
      <c r="C51" s="11" t="s">
        <v>440</v>
      </c>
      <c r="D51" s="11" t="s">
        <v>452</v>
      </c>
      <c r="E51" s="11" t="s">
        <v>453</v>
      </c>
    </row>
    <row r="52" customFormat="false" ht="15" hidden="false" customHeight="false" outlineLevel="0" collapsed="false">
      <c r="A52" s="10" t="s">
        <v>21</v>
      </c>
      <c r="B52" s="10" t="s">
        <v>328</v>
      </c>
      <c r="C52" s="10" t="s">
        <v>388</v>
      </c>
      <c r="D52" s="10" t="s">
        <v>454</v>
      </c>
      <c r="E52" s="10" t="s">
        <v>455</v>
      </c>
    </row>
    <row r="53" customFormat="false" ht="15" hidden="false" customHeight="false" outlineLevel="0" collapsed="false">
      <c r="A53" s="11" t="s">
        <v>24</v>
      </c>
      <c r="B53" s="11" t="s">
        <v>329</v>
      </c>
      <c r="C53" s="11" t="s">
        <v>378</v>
      </c>
      <c r="D53" s="11" t="s">
        <v>456</v>
      </c>
      <c r="E53" s="11" t="s">
        <v>457</v>
      </c>
    </row>
    <row r="54" customFormat="false" ht="15" hidden="false" customHeight="false" outlineLevel="0" collapsed="false">
      <c r="A54" s="10" t="s">
        <v>24</v>
      </c>
      <c r="B54" s="10" t="s">
        <v>287</v>
      </c>
      <c r="C54" s="10" t="s">
        <v>287</v>
      </c>
      <c r="D54" s="10" t="s">
        <v>458</v>
      </c>
      <c r="E54" s="10" t="s">
        <v>459</v>
      </c>
    </row>
    <row r="55" customFormat="false" ht="15" hidden="false" customHeight="false" outlineLevel="0" collapsed="false">
      <c r="A55" s="11" t="s">
        <v>24</v>
      </c>
      <c r="B55" s="11" t="s">
        <v>52</v>
      </c>
      <c r="C55" s="11" t="s">
        <v>414</v>
      </c>
      <c r="D55" s="11" t="s">
        <v>460</v>
      </c>
      <c r="E55" s="11" t="s">
        <v>380</v>
      </c>
    </row>
    <row r="56" customFormat="false" ht="15" hidden="false" customHeight="false" outlineLevel="0" collapsed="false">
      <c r="A56" s="10" t="s">
        <v>24</v>
      </c>
      <c r="B56" s="10" t="s">
        <v>330</v>
      </c>
      <c r="C56" s="10" t="s">
        <v>440</v>
      </c>
      <c r="D56" s="10" t="s">
        <v>461</v>
      </c>
      <c r="E56" s="10" t="s">
        <v>462</v>
      </c>
    </row>
    <row r="57" customFormat="false" ht="15" hidden="false" customHeight="false" outlineLevel="0" collapsed="false">
      <c r="A57" s="11" t="s">
        <v>24</v>
      </c>
      <c r="B57" s="11" t="s">
        <v>331</v>
      </c>
      <c r="C57" s="11" t="s">
        <v>463</v>
      </c>
      <c r="D57" s="11" t="s">
        <v>464</v>
      </c>
      <c r="E57" s="11" t="s">
        <v>465</v>
      </c>
    </row>
    <row r="58" customFormat="false" ht="15" hidden="false" customHeight="false" outlineLevel="0" collapsed="false">
      <c r="A58" s="10" t="s">
        <v>24</v>
      </c>
      <c r="B58" s="10" t="s">
        <v>332</v>
      </c>
      <c r="C58" s="10" t="s">
        <v>463</v>
      </c>
      <c r="D58" s="10" t="s">
        <v>466</v>
      </c>
      <c r="E58" s="10" t="s">
        <v>467</v>
      </c>
    </row>
    <row r="59" customFormat="false" ht="15" hidden="false" customHeight="false" outlineLevel="0" collapsed="false">
      <c r="A59" s="11" t="s">
        <v>24</v>
      </c>
      <c r="B59" s="11" t="s">
        <v>333</v>
      </c>
      <c r="C59" s="11" t="s">
        <v>463</v>
      </c>
      <c r="D59" s="11" t="s">
        <v>468</v>
      </c>
      <c r="E59" s="11" t="s">
        <v>467</v>
      </c>
    </row>
    <row r="60" customFormat="false" ht="15" hidden="false" customHeight="false" outlineLevel="0" collapsed="false">
      <c r="A60" s="10" t="s">
        <v>24</v>
      </c>
      <c r="B60" s="10" t="s">
        <v>334</v>
      </c>
      <c r="C60" s="10" t="s">
        <v>463</v>
      </c>
      <c r="D60" s="10" t="s">
        <v>469</v>
      </c>
      <c r="E60" s="10" t="s">
        <v>470</v>
      </c>
    </row>
    <row r="61" customFormat="false" ht="15" hidden="false" customHeight="false" outlineLevel="0" collapsed="false">
      <c r="A61" s="11" t="s">
        <v>24</v>
      </c>
      <c r="B61" s="11" t="s">
        <v>335</v>
      </c>
      <c r="C61" s="11" t="s">
        <v>471</v>
      </c>
      <c r="D61" s="11" t="s">
        <v>472</v>
      </c>
      <c r="E61" s="11" t="s">
        <v>473</v>
      </c>
    </row>
    <row r="62" customFormat="false" ht="15" hidden="false" customHeight="false" outlineLevel="0" collapsed="false">
      <c r="A62" s="10" t="s">
        <v>24</v>
      </c>
      <c r="B62" s="10" t="s">
        <v>336</v>
      </c>
      <c r="C62" s="10" t="s">
        <v>385</v>
      </c>
      <c r="D62" s="10" t="s">
        <v>474</v>
      </c>
      <c r="E62" s="10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2026-05-18T22:18:52Z</dcterms:created>
  <dc:creator>openpyxl</dc:creator>
  <dc:description/>
  <dc:language>en-US</dc:language>
  <cp:lastModifiedBy/>
  <dcterms:modified xsi:type="dcterms:W3CDTF">2026-05-18T22:18:53Z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